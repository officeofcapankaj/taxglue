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C:\Users\Lenovo\Downloads\"/>
    </mc:Choice>
  </mc:AlternateContent>
  <xr:revisionPtr revIDLastSave="0" documentId="8_{47CF279D-A78A-4B4A-88EA-7DE1CCE03BC6}" xr6:coauthVersionLast="47" xr6:coauthVersionMax="47" xr10:uidLastSave="{00000000-0000-0000-0000-000000000000}"/>
  <bookViews>
    <workbookView xWindow="-108" yWindow="-108" windowWidth="23256" windowHeight="12456" xr2:uid="{7B15ACBA-B052-4524-AD3D-3F0D10521491}"/>
  </bookViews>
  <sheets>
    <sheet name="My Contect" sheetId="1" r:id="rId1"/>
    <sheet name="Frunt" sheetId="2" r:id="rId2"/>
    <sheet name="BS" sheetId="3" r:id="rId3"/>
    <sheet name="PL" sheetId="4" r:id="rId4"/>
    <sheet name="BS Lia" sheetId="5" r:id="rId5"/>
    <sheet name="FA NEW" sheetId="6" r:id="rId6"/>
    <sheet name="BS Assets" sheetId="7" r:id="rId7"/>
    <sheet name="PL Det" sheetId="8" r:id="rId8"/>
    <sheet name="Aging Analysis" sheetId="9" r:id="rId9"/>
    <sheet name="Sheet4" sheetId="10" r:id="rId10"/>
    <sheet name="Trial 2025" sheetId="11" r:id="rId11"/>
  </sheets>
  <externalReferences>
    <externalReference r:id="rId12"/>
  </externalReferences>
  <definedNames>
    <definedName name="_xlnm._FilterDatabase" localSheetId="7" hidden="1">'PL Det'!$C$117:$C$131</definedName>
    <definedName name="_fin1" localSheetId="5">#REF!</definedName>
    <definedName name="_fin1" localSheetId="0">#REF!</definedName>
    <definedName name="_fin1">#REF!</definedName>
    <definedName name="_fin2" localSheetId="5">#REF!</definedName>
    <definedName name="_fin2" localSheetId="0">#REF!</definedName>
    <definedName name="_fin2">#REF!</definedName>
    <definedName name="_fin3" localSheetId="5">#REF!</definedName>
    <definedName name="_fin3" localSheetId="0">#REF!</definedName>
    <definedName name="_fin3">#REF!</definedName>
    <definedName name="_fin4" localSheetId="5">#REF!</definedName>
    <definedName name="_fin4">#REF!</definedName>
    <definedName name="_fin5" localSheetId="5">#REF!</definedName>
    <definedName name="_fin5">#REF!</definedName>
    <definedName name="_fin6" localSheetId="5">#REF!</definedName>
    <definedName name="_fin6">#REF!</definedName>
    <definedName name="_fin7" localSheetId="5">#REF!</definedName>
    <definedName name="_fin7">#REF!</definedName>
    <definedName name="_fin8" localSheetId="5">#REF!</definedName>
    <definedName name="_fin8">#REF!</definedName>
    <definedName name="_sc5" localSheetId="5">#REF!</definedName>
    <definedName name="_sc5">#REF!</definedName>
    <definedName name="_SCH12" localSheetId="5">#REF!</definedName>
    <definedName name="_SCH12">#REF!</definedName>
    <definedName name="_SCH1213" localSheetId="5">#REF!</definedName>
    <definedName name="_SCH1213">#REF!</definedName>
    <definedName name="_SCH123" localSheetId="5">#REF!</definedName>
    <definedName name="_SCH123">#REF!</definedName>
    <definedName name="_SCH13" localSheetId="5">#REF!</definedName>
    <definedName name="_SCH13">#REF!</definedName>
    <definedName name="_sch14" localSheetId="5">#REF!</definedName>
    <definedName name="_sch14">#REF!</definedName>
    <definedName name="_SCH15" localSheetId="5">#REF!</definedName>
    <definedName name="_SCH15">#REF!</definedName>
    <definedName name="_sch1516" localSheetId="5">#REF!</definedName>
    <definedName name="_sch1516">#REF!</definedName>
    <definedName name="_SCH5" localSheetId="5">#REF!</definedName>
    <definedName name="_SCH5">#REF!</definedName>
    <definedName name="_SCH67" localSheetId="5">#REF!</definedName>
    <definedName name="_SCH67">#REF!</definedName>
    <definedName name="_sch6789" localSheetId="5">#REF!</definedName>
    <definedName name="_sch6789">#REF!</definedName>
    <definedName name="accts" localSheetId="0">#REF!</definedName>
    <definedName name="accts">#REF!</definedName>
    <definedName name="ARCH" localSheetId="0">#REF!</definedName>
    <definedName name="ARCH">#REF!</definedName>
    <definedName name="AS2DocOpenMode" hidden="1">"AS2DocumentEdit"</definedName>
    <definedName name="AS2HasNoAutoHeaderFooter">"OFF"</definedName>
    <definedName name="Balancesheet">#REF!</definedName>
    <definedName name="bkccflow" localSheetId="0">#REF!</definedName>
    <definedName name="bkccflow">#REF!</definedName>
    <definedName name="bkcrep" localSheetId="0">#REF!</definedName>
    <definedName name="bkcrep">#REF!</definedName>
    <definedName name="bs" localSheetId="5">#REF!</definedName>
    <definedName name="bs">#REF!</definedName>
    <definedName name="BSV" localSheetId="5">#REF!</definedName>
    <definedName name="BSV">#REF!</definedName>
    <definedName name="CEO" localSheetId="0">#REF!</definedName>
    <definedName name="CEO">#REF!</definedName>
    <definedName name="Certificates">#REF!</definedName>
    <definedName name="CF_NetIncome" localSheetId="5">#REF!</definedName>
    <definedName name="CF_NetIncome" localSheetId="0">#REF!</definedName>
    <definedName name="CF_NetIncome">#REF!</definedName>
    <definedName name="CHECK" localSheetId="5">#REF!</definedName>
    <definedName name="CHECK">#REF!</definedName>
    <definedName name="concap" localSheetId="0">#REF!</definedName>
    <definedName name="concap">#REF!</definedName>
    <definedName name="consol" localSheetId="0">#REF!</definedName>
    <definedName name="consol">#REF!</definedName>
    <definedName name="costsoli" localSheetId="0">#REF!</definedName>
    <definedName name="costsoli">#REF!</definedName>
    <definedName name="DATA" localSheetId="5">#REF!</definedName>
    <definedName name="DATA">#REF!</definedName>
    <definedName name="ghtacct" localSheetId="0">#REF!</definedName>
    <definedName name="ghtacct">#REF!</definedName>
    <definedName name="ghtbdact" localSheetId="0">#REF!</definedName>
    <definedName name="ghtbdact">#REF!</definedName>
    <definedName name="ghtcflow" localSheetId="0">#REF!</definedName>
    <definedName name="ghtcflow">#REF!</definedName>
    <definedName name="ghtrep" localSheetId="0">#REF!</definedName>
    <definedName name="ghtrep">#REF!</definedName>
    <definedName name="glpl" localSheetId="0">#REF!</definedName>
    <definedName name="glpl">#REF!</definedName>
    <definedName name="intwork2" localSheetId="5">#REF!</definedName>
    <definedName name="intwork2" localSheetId="0">#REF!</definedName>
    <definedName name="intwork2">#REF!</definedName>
    <definedName name="intwork3" localSheetId="0">#REF!</definedName>
    <definedName name="intwork3">#REF!</definedName>
    <definedName name="intwork4" localSheetId="5">#REF!</definedName>
    <definedName name="intwork4" localSheetId="0">#REF!</definedName>
    <definedName name="intwork4">#REF!</definedName>
    <definedName name="ksracct" localSheetId="0">#REF!</definedName>
    <definedName name="ksracct">#REF!</definedName>
    <definedName name="ksrbdact" localSheetId="0">#REF!</definedName>
    <definedName name="ksrbdact">#REF!</definedName>
    <definedName name="ksrcflow" localSheetId="0">#REF!</definedName>
    <definedName name="ksrcflow">#REF!</definedName>
    <definedName name="ksrrep" localSheetId="0">#REF!</definedName>
    <definedName name="ksrrep">#REF!</definedName>
    <definedName name="Macro2">#REF!</definedName>
    <definedName name="MAT.ProfAfterTaxPLAcnt" localSheetId="0">#REF!</definedName>
    <definedName name="MAT.ProfAfterTaxPLAcnt">#REF!</definedName>
    <definedName name="MAT.TotAdditions" localSheetId="0">#REF!</definedName>
    <definedName name="MAT.TotAdditions">#REF!</definedName>
    <definedName name="MAT.TotDeducts" localSheetId="0">#REF!</definedName>
    <definedName name="MAT.TotDeducts">#REF!</definedName>
    <definedName name="MTKG" localSheetId="0">#REF!</definedName>
    <definedName name="MTKG">#REF!</definedName>
    <definedName name="ngeacct" localSheetId="0">#REF!</definedName>
    <definedName name="ngeacct">#REF!</definedName>
    <definedName name="ngebdact" localSheetId="0">#REF!</definedName>
    <definedName name="ngebdact">#REF!</definedName>
    <definedName name="ngecflow" localSheetId="0">#REF!</definedName>
    <definedName name="ngecflow">#REF!</definedName>
    <definedName name="ngerep" localSheetId="0">#REF!</definedName>
    <definedName name="ngerep">#REF!</definedName>
    <definedName name="NOTES" localSheetId="5">#REF!</definedName>
    <definedName name="NOTES">#REF!</definedName>
    <definedName name="pl" localSheetId="5">#REF!</definedName>
    <definedName name="pl">#REF!</definedName>
    <definedName name="PLA" localSheetId="5">#REF!</definedName>
    <definedName name="PLA">#REF!</definedName>
    <definedName name="plyacct" localSheetId="0">#REF!</definedName>
    <definedName name="plyacct">#REF!</definedName>
    <definedName name="plybdact" localSheetId="0">#REF!</definedName>
    <definedName name="plybdact">#REF!</definedName>
    <definedName name="plycflow" localSheetId="0">#REF!</definedName>
    <definedName name="plycflow">#REF!</definedName>
    <definedName name="plyrep" localSheetId="0">#REF!</definedName>
    <definedName name="plyrep">#REF!</definedName>
    <definedName name="_xlnm.Print_Area" localSheetId="8">'Aging Analysis'!$A$1:$J$54</definedName>
    <definedName name="_xlnm.Print_Area" localSheetId="2">BS!$A$1:$E$62</definedName>
    <definedName name="_xlnm.Print_Area" localSheetId="6">'BS Assets'!$A$1:$F$85</definedName>
    <definedName name="_xlnm.Print_Area" localSheetId="4">'BS Lia'!$A$1:$F$124</definedName>
    <definedName name="_xlnm.Print_Area" localSheetId="5">'FA NEW'!$A$1:$K$38</definedName>
    <definedName name="_xlnm.Print_Area" localSheetId="1">Frunt!$A$1:$K$42</definedName>
    <definedName name="_xlnm.Print_Area" localSheetId="3">PL!$A$1:$E$49</definedName>
    <definedName name="_xlnm.Print_Area" localSheetId="7">'PL Det'!$A$1:$E$142</definedName>
    <definedName name="_xlnm.Print_Area" localSheetId="9">Sheet4!$A$1:$D$143</definedName>
    <definedName name="_xlnm.Print_Titles" localSheetId="9">Sheet4!$1:$3</definedName>
    <definedName name="project" localSheetId="0">#REF!</definedName>
    <definedName name="project">#REF!</definedName>
    <definedName name="residual" localSheetId="0">#REF!</definedName>
    <definedName name="residual">#REF!</definedName>
    <definedName name="SCH10_13" localSheetId="5">#REF!</definedName>
    <definedName name="SCH10_13" localSheetId="0">#REF!</definedName>
    <definedName name="SCH10_13">#REF!</definedName>
    <definedName name="sch10111213" localSheetId="5">#REF!</definedName>
    <definedName name="sch10111213">#REF!</definedName>
    <definedName name="solacct" localSheetId="0">#REF!</definedName>
    <definedName name="solacct">#REF!</definedName>
    <definedName name="solbdact" localSheetId="0">#REF!</definedName>
    <definedName name="solbdact">#REF!</definedName>
    <definedName name="solcflow" localSheetId="0">#REF!</definedName>
    <definedName name="solcflow">#REF!</definedName>
    <definedName name="solrep" localSheetId="0">#REF!</definedName>
    <definedName name="solrep">#REF!</definedName>
    <definedName name="south" localSheetId="0">#REF!</definedName>
    <definedName name="south">#REF!</definedName>
    <definedName name="taracct" localSheetId="0">#REF!</definedName>
    <definedName name="taracct">#REF!</definedName>
    <definedName name="tarcflow" localSheetId="0">#REF!</definedName>
    <definedName name="tarcflow">#REF!</definedName>
    <definedName name="TAX" localSheetId="5">#REF!</definedName>
    <definedName name="TAX">#REF!</definedName>
    <definedName name="tbal" localSheetId="5">#REF!</definedName>
    <definedName name="tbal">#REF!</definedName>
    <definedName name="TextRefCopyRangeCount" hidden="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31" i="11" l="1"/>
  <c r="I231" i="11"/>
  <c r="J232" i="11" s="1"/>
  <c r="H230" i="11"/>
  <c r="G230" i="11"/>
  <c r="H229" i="11"/>
  <c r="G229" i="11"/>
  <c r="G111" i="8" s="1"/>
  <c r="D111" i="8" s="1"/>
  <c r="H228" i="11"/>
  <c r="G228" i="11"/>
  <c r="H227" i="11"/>
  <c r="G227" i="11"/>
  <c r="H226" i="11"/>
  <c r="G226" i="11"/>
  <c r="G107" i="8" s="1"/>
  <c r="H225" i="11"/>
  <c r="G225" i="11"/>
  <c r="H224" i="11"/>
  <c r="G224" i="11"/>
  <c r="H223" i="11"/>
  <c r="G223" i="11"/>
  <c r="H222" i="11"/>
  <c r="G222" i="11"/>
  <c r="H221" i="11"/>
  <c r="G221" i="11"/>
  <c r="G82" i="8" s="1"/>
  <c r="H220" i="11"/>
  <c r="G220" i="11"/>
  <c r="H219" i="11"/>
  <c r="G219" i="11"/>
  <c r="H218" i="11"/>
  <c r="G218" i="11"/>
  <c r="H217" i="11"/>
  <c r="G217" i="11"/>
  <c r="H216" i="11"/>
  <c r="G216" i="11"/>
  <c r="H215" i="11"/>
  <c r="G215" i="11"/>
  <c r="H214" i="11"/>
  <c r="G214" i="11"/>
  <c r="G131" i="8" s="1"/>
  <c r="H213" i="11"/>
  <c r="G213" i="11"/>
  <c r="G28" i="4" s="1"/>
  <c r="D28" i="4" s="1"/>
  <c r="H212" i="11"/>
  <c r="C212" i="11"/>
  <c r="G212" i="11" s="1"/>
  <c r="G130" i="8" s="1"/>
  <c r="D130" i="8" s="1"/>
  <c r="H211" i="11"/>
  <c r="G211" i="11"/>
  <c r="H210" i="11"/>
  <c r="G210" i="11"/>
  <c r="G209" i="11"/>
  <c r="G128" i="8" s="1"/>
  <c r="D128" i="8" s="1"/>
  <c r="F209" i="11"/>
  <c r="H208" i="11"/>
  <c r="G208" i="11"/>
  <c r="H207" i="11"/>
  <c r="G207" i="11"/>
  <c r="H206" i="11"/>
  <c r="G206" i="11"/>
  <c r="G127" i="8" s="1"/>
  <c r="D127" i="8" s="1"/>
  <c r="H205" i="11"/>
  <c r="G205" i="11"/>
  <c r="H204" i="11"/>
  <c r="C204" i="11"/>
  <c r="H203" i="11"/>
  <c r="C203" i="11"/>
  <c r="H202" i="11"/>
  <c r="G202" i="11"/>
  <c r="H201" i="11"/>
  <c r="G201" i="11"/>
  <c r="G122" i="8" s="1"/>
  <c r="H200" i="11"/>
  <c r="G200" i="11"/>
  <c r="G121" i="8" s="1"/>
  <c r="D121" i="8" s="1"/>
  <c r="H199" i="11"/>
  <c r="G199" i="11"/>
  <c r="H198" i="11"/>
  <c r="G198" i="11"/>
  <c r="G119" i="8" s="1"/>
  <c r="H197" i="11"/>
  <c r="G197" i="11"/>
  <c r="H196" i="11"/>
  <c r="G196" i="11"/>
  <c r="H195" i="11"/>
  <c r="G195" i="11"/>
  <c r="G120" i="8" s="1"/>
  <c r="D120" i="8" s="1"/>
  <c r="H194" i="11"/>
  <c r="G194" i="11"/>
  <c r="H193" i="11"/>
  <c r="G193" i="11"/>
  <c r="H192" i="11"/>
  <c r="G192" i="11"/>
  <c r="H191" i="11"/>
  <c r="G191" i="11"/>
  <c r="H190" i="11"/>
  <c r="G190" i="11"/>
  <c r="H189" i="11"/>
  <c r="G16" i="8" s="1"/>
  <c r="D16" i="8" s="1"/>
  <c r="G189" i="11"/>
  <c r="H188" i="11"/>
  <c r="G188" i="11"/>
  <c r="H187" i="11"/>
  <c r="G187" i="11"/>
  <c r="H186" i="11"/>
  <c r="G186" i="11"/>
  <c r="H185" i="11"/>
  <c r="G185" i="11"/>
  <c r="H184" i="11"/>
  <c r="G184" i="11"/>
  <c r="H183" i="11"/>
  <c r="G183" i="11"/>
  <c r="H182" i="11"/>
  <c r="G182" i="11"/>
  <c r="H181" i="11"/>
  <c r="G181" i="11"/>
  <c r="H180" i="11"/>
  <c r="G180" i="11"/>
  <c r="H179" i="11"/>
  <c r="G179" i="11"/>
  <c r="H178" i="11"/>
  <c r="G178" i="11"/>
  <c r="H177" i="11"/>
  <c r="G177" i="11"/>
  <c r="G32" i="8" s="1"/>
  <c r="C177" i="11"/>
  <c r="H176" i="11"/>
  <c r="G176" i="11"/>
  <c r="H175" i="11"/>
  <c r="G175" i="11"/>
  <c r="H174" i="11"/>
  <c r="G174" i="11"/>
  <c r="H173" i="11"/>
  <c r="G173" i="11"/>
  <c r="H172" i="11"/>
  <c r="G172" i="11"/>
  <c r="H171" i="11"/>
  <c r="G171" i="11"/>
  <c r="H170" i="11"/>
  <c r="G170" i="11"/>
  <c r="H169" i="11"/>
  <c r="G169" i="11"/>
  <c r="H168" i="11"/>
  <c r="C168" i="11"/>
  <c r="G168" i="11" s="1"/>
  <c r="H167" i="11"/>
  <c r="G167" i="11"/>
  <c r="H166" i="11"/>
  <c r="G166" i="11"/>
  <c r="H165" i="11"/>
  <c r="G165" i="11"/>
  <c r="H164" i="11"/>
  <c r="G164" i="11"/>
  <c r="H163" i="11"/>
  <c r="G163" i="11"/>
  <c r="H162" i="11"/>
  <c r="G162" i="11"/>
  <c r="H161" i="11"/>
  <c r="G161" i="11"/>
  <c r="H160" i="11"/>
  <c r="G160" i="11"/>
  <c r="H62" i="7" s="1"/>
  <c r="H159" i="11"/>
  <c r="G159" i="11"/>
  <c r="H158" i="11"/>
  <c r="G158" i="11"/>
  <c r="H157" i="11"/>
  <c r="G157" i="11"/>
  <c r="H156" i="11"/>
  <c r="G156" i="11"/>
  <c r="H155" i="11"/>
  <c r="G155" i="11"/>
  <c r="L155" i="11" s="1"/>
  <c r="H154" i="11"/>
  <c r="G154" i="11"/>
  <c r="L153" i="11"/>
  <c r="H153" i="11"/>
  <c r="G153" i="11"/>
  <c r="L152" i="11"/>
  <c r="H152" i="11"/>
  <c r="G152" i="11"/>
  <c r="H151" i="11"/>
  <c r="G151" i="11"/>
  <c r="L151" i="11" s="1"/>
  <c r="H150" i="11"/>
  <c r="G150" i="11"/>
  <c r="L149" i="11"/>
  <c r="H149" i="11"/>
  <c r="G149" i="11"/>
  <c r="L148" i="11"/>
  <c r="H148" i="11"/>
  <c r="G148" i="11"/>
  <c r="H147" i="11"/>
  <c r="G147" i="11"/>
  <c r="L147" i="11" s="1"/>
  <c r="H146" i="11"/>
  <c r="G146" i="11"/>
  <c r="L146" i="11" s="1"/>
  <c r="H145" i="11"/>
  <c r="G145" i="11"/>
  <c r="L145" i="11" s="1"/>
  <c r="L144" i="11"/>
  <c r="H144" i="11"/>
  <c r="G144" i="11"/>
  <c r="H143" i="11"/>
  <c r="G143" i="11"/>
  <c r="L143" i="11" s="1"/>
  <c r="H142" i="11"/>
  <c r="G142" i="11"/>
  <c r="L142" i="11" s="1"/>
  <c r="H141" i="11"/>
  <c r="G141" i="11"/>
  <c r="L140" i="11"/>
  <c r="H140" i="11"/>
  <c r="G140" i="11"/>
  <c r="L139" i="11"/>
  <c r="H139" i="11"/>
  <c r="G139" i="11"/>
  <c r="H138" i="11"/>
  <c r="G138" i="11"/>
  <c r="L138" i="11" s="1"/>
  <c r="H137" i="11"/>
  <c r="G137" i="11"/>
  <c r="L137" i="11" s="1"/>
  <c r="L136" i="11"/>
  <c r="H136" i="11"/>
  <c r="G136" i="11"/>
  <c r="L135" i="11"/>
  <c r="H135" i="11"/>
  <c r="G135" i="11"/>
  <c r="H134" i="11"/>
  <c r="G134" i="11"/>
  <c r="L134" i="11" s="1"/>
  <c r="H133" i="11"/>
  <c r="G133" i="11"/>
  <c r="L133" i="11" s="1"/>
  <c r="L132" i="11"/>
  <c r="H132" i="11"/>
  <c r="G132" i="11"/>
  <c r="L131" i="11"/>
  <c r="H131" i="11"/>
  <c r="G131" i="11"/>
  <c r="H130" i="11"/>
  <c r="G130" i="11"/>
  <c r="L130" i="11" s="1"/>
  <c r="H129" i="11"/>
  <c r="G129" i="11"/>
  <c r="H128" i="11"/>
  <c r="G128" i="11"/>
  <c r="L128" i="11" s="1"/>
  <c r="L127" i="11"/>
  <c r="H127" i="11"/>
  <c r="G127" i="11"/>
  <c r="H126" i="11"/>
  <c r="G126" i="11"/>
  <c r="L126" i="11" s="1"/>
  <c r="H125" i="11"/>
  <c r="G125" i="11"/>
  <c r="L125" i="11" s="1"/>
  <c r="H124" i="11"/>
  <c r="G124" i="11"/>
  <c r="L123" i="11"/>
  <c r="H123" i="11"/>
  <c r="G123" i="11"/>
  <c r="H122" i="11"/>
  <c r="G122" i="11"/>
  <c r="L122" i="11" s="1"/>
  <c r="H121" i="11"/>
  <c r="G121" i="11"/>
  <c r="L121" i="11" s="1"/>
  <c r="L120" i="11"/>
  <c r="H120" i="11"/>
  <c r="G120" i="11"/>
  <c r="L119" i="11"/>
  <c r="H119" i="11"/>
  <c r="G119" i="11"/>
  <c r="H118" i="11"/>
  <c r="G118" i="11"/>
  <c r="L118" i="11" s="1"/>
  <c r="H117" i="11"/>
  <c r="G117" i="11"/>
  <c r="H116" i="11"/>
  <c r="G116" i="11"/>
  <c r="H115" i="11"/>
  <c r="G115" i="11"/>
  <c r="H114" i="11"/>
  <c r="G114" i="11"/>
  <c r="H113" i="11"/>
  <c r="G113" i="11"/>
  <c r="H112" i="11"/>
  <c r="G112" i="11"/>
  <c r="H111" i="11"/>
  <c r="G111" i="11"/>
  <c r="H110" i="11"/>
  <c r="G110" i="11"/>
  <c r="H109" i="11"/>
  <c r="G109" i="11"/>
  <c r="H108" i="11"/>
  <c r="G108" i="11"/>
  <c r="H107" i="11"/>
  <c r="G107" i="11"/>
  <c r="H106" i="11"/>
  <c r="G106" i="11"/>
  <c r="H105" i="11"/>
  <c r="G105" i="11"/>
  <c r="H104" i="11"/>
  <c r="G104" i="11"/>
  <c r="H103" i="11"/>
  <c r="G103" i="11"/>
  <c r="H102" i="11"/>
  <c r="G102" i="11"/>
  <c r="H101" i="11"/>
  <c r="G101" i="11"/>
  <c r="H100" i="11"/>
  <c r="G100" i="11"/>
  <c r="H99" i="11"/>
  <c r="G99" i="11"/>
  <c r="H98" i="11"/>
  <c r="G98" i="11"/>
  <c r="H97" i="11"/>
  <c r="G97" i="11"/>
  <c r="H96" i="11"/>
  <c r="G96" i="11"/>
  <c r="H95" i="11"/>
  <c r="G95" i="11"/>
  <c r="H94" i="11"/>
  <c r="G94" i="11"/>
  <c r="H93" i="11"/>
  <c r="G93" i="11"/>
  <c r="H92" i="11"/>
  <c r="G92" i="11"/>
  <c r="H91" i="11"/>
  <c r="G91" i="11"/>
  <c r="H90" i="11"/>
  <c r="G90" i="11"/>
  <c r="H89" i="11"/>
  <c r="G89" i="11"/>
  <c r="H88" i="11"/>
  <c r="G88" i="11"/>
  <c r="H87" i="11"/>
  <c r="G87" i="11"/>
  <c r="H86" i="11"/>
  <c r="G86" i="11"/>
  <c r="H85" i="11"/>
  <c r="G85" i="11"/>
  <c r="H84" i="11"/>
  <c r="G84" i="11"/>
  <c r="H83" i="11"/>
  <c r="G83" i="11"/>
  <c r="H82" i="11"/>
  <c r="G82" i="11"/>
  <c r="H81" i="11"/>
  <c r="G81" i="11"/>
  <c r="H80" i="11"/>
  <c r="G80" i="11"/>
  <c r="H79" i="11"/>
  <c r="G79" i="11"/>
  <c r="H78" i="11"/>
  <c r="G78" i="11"/>
  <c r="H77" i="11"/>
  <c r="G77" i="11"/>
  <c r="H76" i="11"/>
  <c r="G76" i="11"/>
  <c r="H24" i="7" s="1"/>
  <c r="H75" i="11"/>
  <c r="G75" i="11"/>
  <c r="H74" i="11"/>
  <c r="G74" i="11"/>
  <c r="H7" i="7" s="1"/>
  <c r="E7" i="7" s="1"/>
  <c r="H73" i="11"/>
  <c r="G73" i="11"/>
  <c r="H72" i="11"/>
  <c r="G72" i="11"/>
  <c r="H71" i="11"/>
  <c r="G71" i="11"/>
  <c r="J31" i="3" s="1"/>
  <c r="H70" i="11"/>
  <c r="G70" i="11"/>
  <c r="H69" i="11"/>
  <c r="G69" i="11"/>
  <c r="H68" i="11"/>
  <c r="G68" i="11"/>
  <c r="H67" i="11"/>
  <c r="G67" i="11"/>
  <c r="H66" i="11"/>
  <c r="G66" i="11"/>
  <c r="H65" i="11"/>
  <c r="G65" i="11"/>
  <c r="H64" i="11"/>
  <c r="G64" i="11"/>
  <c r="E64" i="11"/>
  <c r="H63" i="11"/>
  <c r="G63" i="11"/>
  <c r="H62" i="11"/>
  <c r="G62" i="11"/>
  <c r="H61" i="11"/>
  <c r="G61" i="11"/>
  <c r="H60" i="11"/>
  <c r="G60" i="11"/>
  <c r="H59" i="11"/>
  <c r="H103" i="5" s="1"/>
  <c r="E103" i="5" s="1"/>
  <c r="G59" i="11"/>
  <c r="F59" i="11"/>
  <c r="F231" i="11" s="1"/>
  <c r="E59" i="11"/>
  <c r="H58" i="11"/>
  <c r="G58" i="11"/>
  <c r="H57" i="11"/>
  <c r="G57" i="11"/>
  <c r="H56" i="11"/>
  <c r="E56" i="11"/>
  <c r="H55" i="11"/>
  <c r="G55" i="11"/>
  <c r="H54" i="11"/>
  <c r="G54" i="11"/>
  <c r="H53" i="11"/>
  <c r="G53" i="11"/>
  <c r="H52" i="11"/>
  <c r="G52" i="11"/>
  <c r="H51" i="11"/>
  <c r="G51" i="11"/>
  <c r="H50" i="11"/>
  <c r="G50" i="11"/>
  <c r="H49" i="11"/>
  <c r="G49" i="11"/>
  <c r="H48" i="11"/>
  <c r="G48" i="11"/>
  <c r="H47" i="11"/>
  <c r="G47" i="11"/>
  <c r="H46" i="11"/>
  <c r="G46" i="11"/>
  <c r="H45" i="11"/>
  <c r="G45" i="11"/>
  <c r="H44" i="11"/>
  <c r="G44" i="11"/>
  <c r="H43" i="11"/>
  <c r="G43" i="11"/>
  <c r="H42" i="11"/>
  <c r="G42" i="11"/>
  <c r="H41" i="11"/>
  <c r="G41" i="11"/>
  <c r="H40" i="11"/>
  <c r="G40" i="11"/>
  <c r="G39" i="11"/>
  <c r="F39" i="11"/>
  <c r="H39" i="11" s="1"/>
  <c r="H38" i="11"/>
  <c r="G38" i="11"/>
  <c r="H37" i="11"/>
  <c r="G37" i="11"/>
  <c r="H36" i="11"/>
  <c r="G36" i="11"/>
  <c r="H35" i="11"/>
  <c r="G35" i="11"/>
  <c r="H34" i="11"/>
  <c r="G34" i="11"/>
  <c r="H33" i="11"/>
  <c r="G33" i="11"/>
  <c r="H32" i="11"/>
  <c r="G32" i="11"/>
  <c r="H31" i="11"/>
  <c r="G31" i="11"/>
  <c r="H30" i="11"/>
  <c r="G30" i="11"/>
  <c r="H29" i="11"/>
  <c r="G29" i="11"/>
  <c r="G28" i="11"/>
  <c r="D28" i="11"/>
  <c r="H28" i="11" s="1"/>
  <c r="H27" i="11"/>
  <c r="F27" i="11"/>
  <c r="E27" i="11"/>
  <c r="H26" i="11"/>
  <c r="G26" i="11"/>
  <c r="F26" i="11"/>
  <c r="E26" i="11"/>
  <c r="D26" i="11"/>
  <c r="C26" i="11"/>
  <c r="H25" i="11"/>
  <c r="G25" i="11"/>
  <c r="H24" i="11"/>
  <c r="G24" i="11"/>
  <c r="H23" i="11"/>
  <c r="G23" i="11"/>
  <c r="H22" i="11"/>
  <c r="G22" i="11"/>
  <c r="H21" i="11"/>
  <c r="G21" i="11"/>
  <c r="H20" i="11"/>
  <c r="G20" i="11"/>
  <c r="H19" i="11"/>
  <c r="G19" i="11"/>
  <c r="H18" i="11"/>
  <c r="G18" i="11"/>
  <c r="H17" i="11"/>
  <c r="G17" i="11"/>
  <c r="H16" i="11"/>
  <c r="G16" i="11"/>
  <c r="H15" i="11"/>
  <c r="G15" i="11"/>
  <c r="H14" i="11"/>
  <c r="G14" i="11"/>
  <c r="H13" i="11"/>
  <c r="G13" i="11"/>
  <c r="H12" i="11"/>
  <c r="G12" i="11"/>
  <c r="H11" i="11"/>
  <c r="G11" i="11"/>
  <c r="I6" i="11"/>
  <c r="G6" i="11"/>
  <c r="C6" i="11"/>
  <c r="F120" i="10"/>
  <c r="D61" i="10"/>
  <c r="G45" i="10"/>
  <c r="G22" i="9" s="1"/>
  <c r="G26" i="9" s="1"/>
  <c r="F45" i="10"/>
  <c r="D28" i="10"/>
  <c r="C28" i="10"/>
  <c r="F16" i="10"/>
  <c r="D4" i="10"/>
  <c r="C4" i="10"/>
  <c r="B2" i="10"/>
  <c r="C56" i="9"/>
  <c r="C55" i="9"/>
  <c r="C54" i="9"/>
  <c r="C53" i="9"/>
  <c r="C52" i="9"/>
  <c r="C51" i="9"/>
  <c r="G45" i="9"/>
  <c r="C45" i="9"/>
  <c r="C44" i="9"/>
  <c r="C43" i="9"/>
  <c r="I38" i="9"/>
  <c r="I37" i="9"/>
  <c r="I35" i="9"/>
  <c r="E34" i="9"/>
  <c r="E39" i="9" s="1"/>
  <c r="I25" i="9"/>
  <c r="I24" i="9"/>
  <c r="F22" i="9"/>
  <c r="F26" i="9" s="1"/>
  <c r="I21" i="9"/>
  <c r="I5" i="9"/>
  <c r="I17" i="9" s="1"/>
  <c r="I29" i="9" s="1"/>
  <c r="C2" i="9"/>
  <c r="C1" i="9"/>
  <c r="F134" i="8"/>
  <c r="H132" i="8"/>
  <c r="G132" i="8"/>
  <c r="D132" i="8" s="1"/>
  <c r="E132" i="8"/>
  <c r="H131" i="8"/>
  <c r="E131" i="8"/>
  <c r="D131" i="8"/>
  <c r="H130" i="8"/>
  <c r="E130" i="8"/>
  <c r="H129" i="8"/>
  <c r="G129" i="8"/>
  <c r="E129" i="8"/>
  <c r="D129" i="8"/>
  <c r="H128" i="8"/>
  <c r="E128" i="8"/>
  <c r="H127" i="8"/>
  <c r="E127" i="8"/>
  <c r="H126" i="8"/>
  <c r="G126" i="8"/>
  <c r="D126" i="8" s="1"/>
  <c r="E126" i="8"/>
  <c r="H125" i="8"/>
  <c r="E125" i="8"/>
  <c r="H124" i="8"/>
  <c r="E124" i="8" s="1"/>
  <c r="H123" i="8"/>
  <c r="E123" i="8" s="1"/>
  <c r="G123" i="8"/>
  <c r="D123" i="8" s="1"/>
  <c r="H122" i="8"/>
  <c r="E122" i="8"/>
  <c r="D122" i="8"/>
  <c r="H121" i="8"/>
  <c r="E121" i="8"/>
  <c r="H120" i="8"/>
  <c r="E120" i="8"/>
  <c r="H119" i="8"/>
  <c r="E119" i="8"/>
  <c r="D119" i="8"/>
  <c r="H118" i="8"/>
  <c r="G118" i="8"/>
  <c r="D118" i="8"/>
  <c r="H111" i="8"/>
  <c r="E111" i="8" s="1"/>
  <c r="H110" i="8"/>
  <c r="E110" i="8" s="1"/>
  <c r="G110" i="8"/>
  <c r="D110" i="8" s="1"/>
  <c r="H108" i="8"/>
  <c r="E108" i="8" s="1"/>
  <c r="G108" i="8"/>
  <c r="D108" i="8" s="1"/>
  <c r="H107" i="8"/>
  <c r="H101" i="8"/>
  <c r="H17" i="4" s="1"/>
  <c r="H99" i="8"/>
  <c r="E99" i="8"/>
  <c r="E101" i="8" s="1"/>
  <c r="E17" i="4" s="1"/>
  <c r="F84" i="8"/>
  <c r="H82" i="8"/>
  <c r="E82" i="8"/>
  <c r="D82" i="8"/>
  <c r="H81" i="8"/>
  <c r="E81" i="8" s="1"/>
  <c r="G81" i="8"/>
  <c r="D81" i="8" s="1"/>
  <c r="H80" i="8"/>
  <c r="G80" i="8"/>
  <c r="D80" i="8" s="1"/>
  <c r="E80" i="8"/>
  <c r="C78" i="8"/>
  <c r="H66" i="8"/>
  <c r="H69" i="8" s="1"/>
  <c r="F66" i="8"/>
  <c r="H64" i="8"/>
  <c r="G64" i="8"/>
  <c r="E62" i="8"/>
  <c r="E64" i="8" s="1"/>
  <c r="D62" i="8"/>
  <c r="D64" i="8" s="1"/>
  <c r="H60" i="8"/>
  <c r="G60" i="8"/>
  <c r="G47" i="8" s="1"/>
  <c r="D47" i="8" s="1"/>
  <c r="F60" i="8"/>
  <c r="E60" i="8"/>
  <c r="E59" i="8"/>
  <c r="D59" i="8"/>
  <c r="E58" i="8"/>
  <c r="D58" i="8"/>
  <c r="D60" i="8" s="1"/>
  <c r="H56" i="8"/>
  <c r="G56" i="8"/>
  <c r="F56" i="8"/>
  <c r="D56" i="8"/>
  <c r="E54" i="8"/>
  <c r="E56" i="8" s="1"/>
  <c r="E66" i="8" s="1"/>
  <c r="D54" i="8"/>
  <c r="F50" i="8"/>
  <c r="F64" i="8" s="1"/>
  <c r="G48" i="8"/>
  <c r="D48" i="8" s="1"/>
  <c r="E48" i="8"/>
  <c r="E47" i="8"/>
  <c r="E46" i="8"/>
  <c r="H43" i="8"/>
  <c r="H50" i="8" s="1"/>
  <c r="G43" i="8"/>
  <c r="D43" i="8" s="1"/>
  <c r="E43" i="8"/>
  <c r="G42" i="8"/>
  <c r="E42" i="8"/>
  <c r="D42" i="8"/>
  <c r="G41" i="8"/>
  <c r="D41" i="8"/>
  <c r="C37" i="8"/>
  <c r="H34" i="8"/>
  <c r="E32" i="8"/>
  <c r="G31" i="8"/>
  <c r="E31" i="8"/>
  <c r="D31" i="8"/>
  <c r="H24" i="8"/>
  <c r="H26" i="8" s="1"/>
  <c r="G24" i="8"/>
  <c r="D22" i="8"/>
  <c r="D29" i="8" s="1"/>
  <c r="E21" i="8"/>
  <c r="E38" i="8" s="1"/>
  <c r="E78" i="8" s="1"/>
  <c r="E104" i="8" s="1"/>
  <c r="E97" i="8" s="1"/>
  <c r="E116" i="8" s="1"/>
  <c r="H18" i="8"/>
  <c r="E16" i="8"/>
  <c r="G15" i="8"/>
  <c r="D15" i="8" s="1"/>
  <c r="E15" i="8"/>
  <c r="G14" i="8"/>
  <c r="E14" i="8"/>
  <c r="D13" i="8"/>
  <c r="D39" i="8" s="1"/>
  <c r="E12" i="8"/>
  <c r="H9" i="8"/>
  <c r="G9" i="8"/>
  <c r="J9" i="8" s="1"/>
  <c r="E9" i="8"/>
  <c r="D9" i="8"/>
  <c r="D8" i="4" s="1"/>
  <c r="G7" i="8"/>
  <c r="E7" i="8"/>
  <c r="D7" i="8"/>
  <c r="E5" i="8"/>
  <c r="E13" i="8" s="1"/>
  <c r="C2" i="8"/>
  <c r="C76" i="8" s="1"/>
  <c r="C95" i="8" s="1"/>
  <c r="I94" i="7"/>
  <c r="H43" i="3" s="1"/>
  <c r="H94" i="7"/>
  <c r="G43" i="3" s="1"/>
  <c r="F94" i="7"/>
  <c r="E43" i="3" s="1"/>
  <c r="E94" i="7"/>
  <c r="D43" i="3" s="1"/>
  <c r="H92" i="7"/>
  <c r="E92" i="7" s="1"/>
  <c r="F92" i="7"/>
  <c r="F91" i="7"/>
  <c r="E91" i="7"/>
  <c r="F90" i="7"/>
  <c r="E90" i="7"/>
  <c r="I82" i="7"/>
  <c r="F82" i="7"/>
  <c r="H70" i="7"/>
  <c r="I68" i="7"/>
  <c r="H68" i="7"/>
  <c r="E68" i="7"/>
  <c r="E70" i="7" s="1"/>
  <c r="F66" i="7"/>
  <c r="E66" i="7"/>
  <c r="E72" i="7" s="1"/>
  <c r="D41" i="3" s="1"/>
  <c r="I64" i="7"/>
  <c r="F64" i="7" s="1"/>
  <c r="H64" i="7"/>
  <c r="E64" i="7" s="1"/>
  <c r="I63" i="7"/>
  <c r="H63" i="7"/>
  <c r="F63" i="7"/>
  <c r="E63" i="7"/>
  <c r="I62" i="7"/>
  <c r="F62" i="7"/>
  <c r="E62" i="7"/>
  <c r="H60" i="7"/>
  <c r="H76" i="7" s="1"/>
  <c r="H88" i="7" s="1"/>
  <c r="F54" i="7"/>
  <c r="F53" i="7"/>
  <c r="I35" i="7"/>
  <c r="H35" i="7"/>
  <c r="E35" i="7" s="1"/>
  <c r="F35" i="7"/>
  <c r="I34" i="7"/>
  <c r="F34" i="7"/>
  <c r="I33" i="7"/>
  <c r="F33" i="7"/>
  <c r="F32" i="7"/>
  <c r="E32" i="7"/>
  <c r="H30" i="7"/>
  <c r="H41" i="7" s="1"/>
  <c r="F30" i="7"/>
  <c r="F41" i="7" s="1"/>
  <c r="E30" i="7"/>
  <c r="I26" i="7"/>
  <c r="H36" i="3" s="1"/>
  <c r="I24" i="7"/>
  <c r="F24" i="7"/>
  <c r="F26" i="7" s="1"/>
  <c r="H22" i="7"/>
  <c r="F22" i="7"/>
  <c r="E22" i="7"/>
  <c r="F21" i="7"/>
  <c r="F29" i="7" s="1"/>
  <c r="F40" i="7" s="1"/>
  <c r="F59" i="7" s="1"/>
  <c r="F75" i="7" s="1"/>
  <c r="F87" i="7" s="1"/>
  <c r="I18" i="7"/>
  <c r="H34" i="3" s="1"/>
  <c r="F18" i="7"/>
  <c r="E34" i="3" s="1"/>
  <c r="H16" i="7"/>
  <c r="E16" i="7" s="1"/>
  <c r="F16" i="7"/>
  <c r="H15" i="7"/>
  <c r="F15" i="7"/>
  <c r="E15" i="7"/>
  <c r="F13" i="7"/>
  <c r="E13" i="7"/>
  <c r="H9" i="7"/>
  <c r="G33" i="3" s="1"/>
  <c r="F9" i="7"/>
  <c r="E33" i="3" s="1"/>
  <c r="E9" i="7"/>
  <c r="D33" i="3" s="1"/>
  <c r="I7" i="7"/>
  <c r="I9" i="7" s="1"/>
  <c r="F7" i="7"/>
  <c r="F4" i="7"/>
  <c r="C2" i="7"/>
  <c r="C57" i="7" s="1"/>
  <c r="C1" i="7"/>
  <c r="J66" i="6"/>
  <c r="F66" i="6"/>
  <c r="H66" i="6" s="1"/>
  <c r="K66" i="6" s="1"/>
  <c r="E66" i="6"/>
  <c r="D66" i="6"/>
  <c r="H64" i="6"/>
  <c r="B64" i="6"/>
  <c r="H62" i="6"/>
  <c r="M59" i="6"/>
  <c r="J57" i="6"/>
  <c r="G57" i="6"/>
  <c r="F57" i="6"/>
  <c r="E57" i="6"/>
  <c r="D57" i="6"/>
  <c r="H57" i="6" s="1"/>
  <c r="B57" i="6"/>
  <c r="N55" i="6"/>
  <c r="J55" i="6"/>
  <c r="G55" i="6"/>
  <c r="F55" i="6"/>
  <c r="F59" i="6" s="1"/>
  <c r="F29" i="6" s="1"/>
  <c r="E55" i="6"/>
  <c r="H55" i="6" s="1"/>
  <c r="K55" i="6" s="1"/>
  <c r="D55" i="6"/>
  <c r="J53" i="6"/>
  <c r="N53" i="6" s="1"/>
  <c r="G53" i="6"/>
  <c r="F53" i="6"/>
  <c r="E53" i="6"/>
  <c r="D53" i="6"/>
  <c r="H53" i="6" s="1"/>
  <c r="K53" i="6" s="1"/>
  <c r="J51" i="6"/>
  <c r="J59" i="6" s="1"/>
  <c r="G51" i="6"/>
  <c r="F51" i="6"/>
  <c r="E51" i="6"/>
  <c r="D51" i="6"/>
  <c r="N49" i="6"/>
  <c r="J49" i="6"/>
  <c r="H49" i="6"/>
  <c r="K49" i="6" s="1"/>
  <c r="G49" i="6"/>
  <c r="F49" i="6"/>
  <c r="E49" i="6"/>
  <c r="D49" i="6"/>
  <c r="B49" i="6"/>
  <c r="B51" i="6" s="1"/>
  <c r="B53" i="6" s="1"/>
  <c r="N47" i="6"/>
  <c r="J47" i="6"/>
  <c r="G47" i="6"/>
  <c r="F47" i="6"/>
  <c r="E47" i="6"/>
  <c r="E59" i="6" s="1"/>
  <c r="E29" i="6" s="1"/>
  <c r="D47" i="6"/>
  <c r="H42" i="6"/>
  <c r="H27" i="6"/>
  <c r="K27" i="6" s="1"/>
  <c r="B27" i="6"/>
  <c r="H25" i="6"/>
  <c r="K25" i="6" s="1"/>
  <c r="F22" i="6"/>
  <c r="J20" i="6"/>
  <c r="J18" i="6"/>
  <c r="M18" i="6" s="1"/>
  <c r="G18" i="6"/>
  <c r="F18" i="6"/>
  <c r="E18" i="6"/>
  <c r="D18" i="6"/>
  <c r="J16" i="6"/>
  <c r="M16" i="6" s="1"/>
  <c r="G16" i="6"/>
  <c r="F16" i="6"/>
  <c r="E16" i="6"/>
  <c r="D16" i="6"/>
  <c r="H16" i="6" s="1"/>
  <c r="K16" i="6" s="1"/>
  <c r="M14" i="6"/>
  <c r="J14" i="6"/>
  <c r="G14" i="6"/>
  <c r="F14" i="6"/>
  <c r="E14" i="6"/>
  <c r="H14" i="6" s="1"/>
  <c r="K14" i="6" s="1"/>
  <c r="D14" i="6"/>
  <c r="J12" i="6"/>
  <c r="G12" i="6"/>
  <c r="H12" i="6" s="1"/>
  <c r="K12" i="6" s="1"/>
  <c r="F12" i="6"/>
  <c r="E12" i="6"/>
  <c r="D12" i="6"/>
  <c r="B12" i="6"/>
  <c r="B14" i="6" s="1"/>
  <c r="B16" i="6" s="1"/>
  <c r="B18" i="6" s="1"/>
  <c r="B20" i="6" s="1"/>
  <c r="J10" i="6"/>
  <c r="G10" i="6"/>
  <c r="F10" i="6"/>
  <c r="E10" i="6"/>
  <c r="D10" i="6"/>
  <c r="C2" i="6"/>
  <c r="C123" i="5"/>
  <c r="C37" i="6" s="1"/>
  <c r="C54" i="7" s="1"/>
  <c r="C102" i="7" s="1"/>
  <c r="C122" i="5"/>
  <c r="C72" i="6" s="1"/>
  <c r="F114" i="5"/>
  <c r="E114" i="5"/>
  <c r="I113" i="5"/>
  <c r="I103" i="5"/>
  <c r="F103" i="5"/>
  <c r="I102" i="5"/>
  <c r="F102" i="5"/>
  <c r="C96" i="5"/>
  <c r="E93" i="5"/>
  <c r="C93" i="5"/>
  <c r="E92" i="5"/>
  <c r="H82" i="5"/>
  <c r="F82" i="5"/>
  <c r="I8" i="9" s="1"/>
  <c r="E82" i="5"/>
  <c r="H70" i="5"/>
  <c r="H69" i="5"/>
  <c r="F59" i="5"/>
  <c r="E59" i="5"/>
  <c r="F54" i="5"/>
  <c r="E54" i="5"/>
  <c r="H48" i="5"/>
  <c r="H80" i="5" s="1"/>
  <c r="H99" i="5" s="1"/>
  <c r="H110" i="5" s="1"/>
  <c r="F47" i="5"/>
  <c r="F79" i="5" s="1"/>
  <c r="F98" i="5" s="1"/>
  <c r="F109" i="5" s="1"/>
  <c r="C45" i="5"/>
  <c r="C44" i="5"/>
  <c r="C42" i="5"/>
  <c r="C41" i="5"/>
  <c r="C92" i="5" s="1"/>
  <c r="F35" i="5"/>
  <c r="E35" i="5"/>
  <c r="F30" i="5"/>
  <c r="E30" i="5"/>
  <c r="H26" i="5"/>
  <c r="F25" i="5"/>
  <c r="I22" i="5"/>
  <c r="F22" i="5"/>
  <c r="F19" i="5"/>
  <c r="I17" i="5"/>
  <c r="H17" i="5"/>
  <c r="H13" i="7" s="1"/>
  <c r="F16" i="5"/>
  <c r="F12" i="7" s="1"/>
  <c r="E4" i="8" s="1"/>
  <c r="G13" i="5"/>
  <c r="C13" i="5"/>
  <c r="F9" i="5"/>
  <c r="F7" i="5"/>
  <c r="C7" i="5"/>
  <c r="C6" i="5"/>
  <c r="F5" i="5"/>
  <c r="E5" i="5"/>
  <c r="F4" i="5"/>
  <c r="B4" i="5"/>
  <c r="C2" i="5"/>
  <c r="C72" i="5" s="1"/>
  <c r="C1" i="5"/>
  <c r="C1" i="6" s="1"/>
  <c r="F50" i="4"/>
  <c r="B48" i="4"/>
  <c r="B47" i="4"/>
  <c r="B46" i="4"/>
  <c r="B45" i="4"/>
  <c r="B43" i="4"/>
  <c r="B38" i="4"/>
  <c r="C37" i="4"/>
  <c r="B37" i="4"/>
  <c r="C32" i="4"/>
  <c r="E28" i="4"/>
  <c r="E27" i="4"/>
  <c r="G26" i="4"/>
  <c r="H113" i="5" s="1"/>
  <c r="E26" i="4"/>
  <c r="I23" i="4"/>
  <c r="H15" i="4"/>
  <c r="J14" i="4" s="1"/>
  <c r="H14" i="4"/>
  <c r="H13" i="4"/>
  <c r="H11" i="4"/>
  <c r="H9" i="4"/>
  <c r="H8" i="4"/>
  <c r="G8" i="4"/>
  <c r="E8" i="4"/>
  <c r="H6" i="4"/>
  <c r="H5" i="8" s="1"/>
  <c r="H13" i="8" s="1"/>
  <c r="G6" i="4"/>
  <c r="G5" i="8" s="1"/>
  <c r="G13" i="8" s="1"/>
  <c r="E6" i="4"/>
  <c r="D6" i="4"/>
  <c r="D5" i="8" s="1"/>
  <c r="E5" i="4"/>
  <c r="B4" i="4"/>
  <c r="B2" i="4"/>
  <c r="B59" i="3"/>
  <c r="C58" i="3"/>
  <c r="E42" i="5" s="1"/>
  <c r="E123" i="5" s="1"/>
  <c r="E54" i="7" s="1"/>
  <c r="B58" i="3"/>
  <c r="B44" i="4" s="1"/>
  <c r="C57" i="3"/>
  <c r="B57" i="3"/>
  <c r="B52" i="3"/>
  <c r="C51" i="3"/>
  <c r="B50" i="3"/>
  <c r="B36" i="4" s="1"/>
  <c r="F43" i="3"/>
  <c r="F42" i="3"/>
  <c r="F41" i="3"/>
  <c r="F40" i="3"/>
  <c r="F39" i="3"/>
  <c r="E36" i="3"/>
  <c r="F34" i="3"/>
  <c r="H33" i="3"/>
  <c r="I27" i="3"/>
  <c r="M25" i="3"/>
  <c r="L25" i="3"/>
  <c r="F25" i="3"/>
  <c r="F24" i="3"/>
  <c r="F16" i="3"/>
  <c r="F11" i="3"/>
  <c r="F13" i="3" s="1"/>
  <c r="F27" i="3" s="1"/>
  <c r="J10" i="3"/>
  <c r="F10" i="3"/>
  <c r="C10" i="3"/>
  <c r="C11" i="3" s="1"/>
  <c r="C16" i="3" s="1"/>
  <c r="B25" i="5" s="1"/>
  <c r="H6" i="3"/>
  <c r="G6" i="3"/>
  <c r="E6" i="3"/>
  <c r="D6" i="3"/>
  <c r="B4" i="3"/>
  <c r="B1" i="3"/>
  <c r="B1" i="4" s="1"/>
  <c r="A14" i="2"/>
  <c r="A7" i="2"/>
  <c r="E7" i="1"/>
  <c r="G113" i="8" l="1"/>
  <c r="G18" i="4" s="1"/>
  <c r="D107" i="8"/>
  <c r="D113" i="8" s="1"/>
  <c r="D18" i="4" s="1"/>
  <c r="J29" i="6"/>
  <c r="N58" i="6"/>
  <c r="N59" i="6"/>
  <c r="H113" i="8"/>
  <c r="H18" i="4" s="1"/>
  <c r="E107" i="8"/>
  <c r="E113" i="8" s="1"/>
  <c r="E18" i="4" s="1"/>
  <c r="J11" i="4"/>
  <c r="G11" i="4"/>
  <c r="F60" i="7"/>
  <c r="F76" i="7" s="1"/>
  <c r="F88" i="7" s="1"/>
  <c r="D59" i="6"/>
  <c r="D29" i="6" s="1"/>
  <c r="H47" i="6"/>
  <c r="I5" i="7"/>
  <c r="I5" i="5"/>
  <c r="C57" i="10"/>
  <c r="C25" i="10"/>
  <c r="E19" i="5"/>
  <c r="E22" i="5" s="1"/>
  <c r="D11" i="3" s="1"/>
  <c r="E11" i="3"/>
  <c r="E60" i="7"/>
  <c r="E76" i="7" s="1"/>
  <c r="E88" i="7" s="1"/>
  <c r="E41" i="7"/>
  <c r="H5" i="5"/>
  <c r="H5" i="7"/>
  <c r="H19" i="5"/>
  <c r="H22" i="5" s="1"/>
  <c r="G11" i="3" s="1"/>
  <c r="H11" i="3"/>
  <c r="C22" i="3"/>
  <c r="E102" i="7"/>
  <c r="D73" i="8" s="1"/>
  <c r="H54" i="7"/>
  <c r="H102" i="7" s="1"/>
  <c r="I116" i="5"/>
  <c r="H25" i="3" s="1"/>
  <c r="F113" i="5"/>
  <c r="F116" i="5" s="1"/>
  <c r="E25" i="3" s="1"/>
  <c r="J22" i="6"/>
  <c r="G99" i="8" s="1"/>
  <c r="N51" i="6"/>
  <c r="H34" i="7"/>
  <c r="E34" i="7" s="1"/>
  <c r="E39" i="8"/>
  <c r="E105" i="8" s="1"/>
  <c r="E98" i="8" s="1"/>
  <c r="E117" i="8" s="1"/>
  <c r="E22" i="8"/>
  <c r="E5" i="7"/>
  <c r="E17" i="5"/>
  <c r="E26" i="5" s="1"/>
  <c r="E48" i="5" s="1"/>
  <c r="E80" i="5" s="1"/>
  <c r="C44" i="4"/>
  <c r="G52" i="9" s="1"/>
  <c r="M10" i="6"/>
  <c r="I37" i="7"/>
  <c r="H39" i="3" s="1"/>
  <c r="E34" i="8"/>
  <c r="E14" i="4" s="1"/>
  <c r="D32" i="8"/>
  <c r="D34" i="8" s="1"/>
  <c r="D14" i="4" s="1"/>
  <c r="G34" i="8"/>
  <c r="G14" i="4" s="1"/>
  <c r="J34" i="3"/>
  <c r="D57" i="10"/>
  <c r="D25" i="10"/>
  <c r="H231" i="11"/>
  <c r="I70" i="7"/>
  <c r="F68" i="7"/>
  <c r="F70" i="7" s="1"/>
  <c r="F72" i="7" s="1"/>
  <c r="E41" i="3" s="1"/>
  <c r="C73" i="8"/>
  <c r="D105" i="8"/>
  <c r="D98" i="8" s="1"/>
  <c r="D117" i="8" s="1"/>
  <c r="D79" i="8"/>
  <c r="E50" i="8"/>
  <c r="E15" i="4" s="1"/>
  <c r="E50" i="4" s="1"/>
  <c r="E51" i="4" s="1"/>
  <c r="G39" i="8"/>
  <c r="G22" i="8"/>
  <c r="G29" i="8" s="1"/>
  <c r="C73" i="6"/>
  <c r="E28" i="8"/>
  <c r="H8" i="9"/>
  <c r="H39" i="8"/>
  <c r="H105" i="8" s="1"/>
  <c r="H98" i="8" s="1"/>
  <c r="H117" i="8" s="1"/>
  <c r="H22" i="8"/>
  <c r="I26" i="5"/>
  <c r="I48" i="5" s="1"/>
  <c r="I80" i="5" s="1"/>
  <c r="I99" i="5" s="1"/>
  <c r="I110" i="5" s="1"/>
  <c r="I13" i="7"/>
  <c r="I22" i="7" s="1"/>
  <c r="I30" i="7" s="1"/>
  <c r="C36" i="6"/>
  <c r="C53" i="7" s="1"/>
  <c r="J73" i="6"/>
  <c r="E113" i="5"/>
  <c r="E116" i="5" s="1"/>
  <c r="D25" i="3" s="1"/>
  <c r="H116" i="5"/>
  <c r="G25" i="3" s="1"/>
  <c r="C1" i="8"/>
  <c r="C56" i="7"/>
  <c r="D84" i="8"/>
  <c r="D16" i="4" s="1"/>
  <c r="H37" i="6"/>
  <c r="F17" i="5"/>
  <c r="F26" i="5" s="1"/>
  <c r="F48" i="5" s="1"/>
  <c r="F80" i="5" s="1"/>
  <c r="F5" i="7"/>
  <c r="G27" i="4"/>
  <c r="D27" i="4" s="1"/>
  <c r="G44" i="4"/>
  <c r="G27" i="11"/>
  <c r="G231" i="11" s="1"/>
  <c r="H232" i="11" s="1"/>
  <c r="H26" i="7"/>
  <c r="G36" i="3" s="1"/>
  <c r="E24" i="7"/>
  <c r="E26" i="7" s="1"/>
  <c r="D36" i="3" s="1"/>
  <c r="H66" i="7"/>
  <c r="H72" i="7" s="1"/>
  <c r="G41" i="3" s="1"/>
  <c r="D26" i="4"/>
  <c r="B16" i="5"/>
  <c r="C71" i="5"/>
  <c r="C95" i="5" s="1"/>
  <c r="G59" i="6"/>
  <c r="G29" i="6" s="1"/>
  <c r="K57" i="6"/>
  <c r="D20" i="6" s="1"/>
  <c r="H20" i="6" s="1"/>
  <c r="K20" i="6" s="1"/>
  <c r="E18" i="7"/>
  <c r="D34" i="3" s="1"/>
  <c r="F37" i="7"/>
  <c r="E39" i="3" s="1"/>
  <c r="G46" i="8"/>
  <c r="G66" i="8"/>
  <c r="G69" i="8" s="1"/>
  <c r="G125" i="8"/>
  <c r="D125" i="8" s="1"/>
  <c r="H10" i="6"/>
  <c r="H51" i="6"/>
  <c r="K51" i="6" s="1"/>
  <c r="E18" i="8"/>
  <c r="E9" i="4" s="1"/>
  <c r="E11" i="4" s="1"/>
  <c r="E24" i="8"/>
  <c r="E26" i="8" s="1"/>
  <c r="E13" i="4" s="1"/>
  <c r="E84" i="8"/>
  <c r="E16" i="4" s="1"/>
  <c r="G43" i="4"/>
  <c r="C43" i="4"/>
  <c r="G51" i="9" s="1"/>
  <c r="E22" i="6"/>
  <c r="D14" i="8"/>
  <c r="D18" i="8" s="1"/>
  <c r="D9" i="4" s="1"/>
  <c r="D11" i="4" s="1"/>
  <c r="G18" i="8"/>
  <c r="G9" i="4" s="1"/>
  <c r="D24" i="8"/>
  <c r="D26" i="8" s="1"/>
  <c r="D13" i="4" s="1"/>
  <c r="G26" i="8"/>
  <c r="G13" i="4" s="1"/>
  <c r="G84" i="8"/>
  <c r="G16" i="4" s="1"/>
  <c r="E41" i="5"/>
  <c r="H84" i="8"/>
  <c r="H16" i="4" s="1"/>
  <c r="H21" i="4" s="1"/>
  <c r="H23" i="4" s="1"/>
  <c r="J21" i="3"/>
  <c r="D231" i="11"/>
  <c r="H209" i="11"/>
  <c r="E204" i="11"/>
  <c r="E118" i="8"/>
  <c r="E134" i="8" s="1"/>
  <c r="E19" i="4" s="1"/>
  <c r="H134" i="8"/>
  <c r="H19" i="4" s="1"/>
  <c r="H50" i="4"/>
  <c r="H51" i="4" s="1"/>
  <c r="M12" i="6"/>
  <c r="H18" i="7"/>
  <c r="G34" i="3" s="1"/>
  <c r="G204" i="11"/>
  <c r="G124" i="8" s="1"/>
  <c r="H18" i="6"/>
  <c r="K18" i="6" s="1"/>
  <c r="I66" i="7"/>
  <c r="I72" i="7" s="1"/>
  <c r="H41" i="3" s="1"/>
  <c r="C231" i="11"/>
  <c r="E203" i="11"/>
  <c r="G203" i="11" s="1"/>
  <c r="D66" i="8"/>
  <c r="G56" i="11"/>
  <c r="J38" i="3" s="1"/>
  <c r="H53" i="4" l="1"/>
  <c r="H54" i="4" s="1"/>
  <c r="J24" i="4"/>
  <c r="H30" i="4"/>
  <c r="D124" i="8"/>
  <c r="D134" i="8" s="1"/>
  <c r="D19" i="4" s="1"/>
  <c r="G134" i="8"/>
  <c r="G19" i="4" s="1"/>
  <c r="E99" i="5"/>
  <c r="E110" i="5" s="1"/>
  <c r="H6" i="9"/>
  <c r="D141" i="8"/>
  <c r="G141" i="8" s="1"/>
  <c r="D92" i="8"/>
  <c r="D233" i="11"/>
  <c r="D2" i="11"/>
  <c r="G79" i="8"/>
  <c r="G105" i="8"/>
  <c r="G98" i="8" s="1"/>
  <c r="G117" i="8" s="1"/>
  <c r="K11" i="4"/>
  <c r="C101" i="7"/>
  <c r="C72" i="8"/>
  <c r="H33" i="7"/>
  <c r="D46" i="8"/>
  <c r="D50" i="8" s="1"/>
  <c r="D15" i="4" s="1"/>
  <c r="D50" i="4" s="1"/>
  <c r="D51" i="4" s="1"/>
  <c r="D63" i="10"/>
  <c r="D70" i="10" s="1"/>
  <c r="D137" i="10" s="1"/>
  <c r="D131" i="10" s="1"/>
  <c r="D49" i="10"/>
  <c r="D122" i="10" s="1"/>
  <c r="E79" i="8"/>
  <c r="E29" i="8"/>
  <c r="J21" i="4"/>
  <c r="I41" i="7"/>
  <c r="I60" i="7"/>
  <c r="I76" i="7" s="1"/>
  <c r="I88" i="7" s="1"/>
  <c r="C23" i="3"/>
  <c r="B47" i="5"/>
  <c r="F99" i="5"/>
  <c r="F110" i="5" s="1"/>
  <c r="I6" i="9"/>
  <c r="G50" i="8"/>
  <c r="G15" i="4" s="1"/>
  <c r="G50" i="4" s="1"/>
  <c r="G51" i="4" s="1"/>
  <c r="C233" i="11"/>
  <c r="C2" i="11"/>
  <c r="H79" i="8"/>
  <c r="H29" i="8"/>
  <c r="H56" i="4"/>
  <c r="E122" i="5"/>
  <c r="H68" i="5"/>
  <c r="E21" i="4"/>
  <c r="G17" i="4"/>
  <c r="G101" i="8"/>
  <c r="D99" i="8"/>
  <c r="E23" i="4"/>
  <c r="C141" i="8"/>
  <c r="C92" i="8"/>
  <c r="H59" i="6"/>
  <c r="H29" i="6" s="1"/>
  <c r="K47" i="6"/>
  <c r="K59" i="6" s="1"/>
  <c r="E231" i="11"/>
  <c r="F232" i="11" s="1"/>
  <c r="B1" i="10"/>
  <c r="C75" i="8"/>
  <c r="C94" i="8" s="1"/>
  <c r="D22" i="6"/>
  <c r="C63" i="10"/>
  <c r="C70" i="10" s="1"/>
  <c r="C137" i="10" s="1"/>
  <c r="C131" i="10" s="1"/>
  <c r="C49" i="10"/>
  <c r="C122" i="10" s="1"/>
  <c r="K10" i="6"/>
  <c r="K22" i="6" s="1"/>
  <c r="H22" i="6"/>
  <c r="N22" i="6" s="1"/>
  <c r="E53" i="4" l="1"/>
  <c r="E54" i="4" s="1"/>
  <c r="E56" i="4" s="1"/>
  <c r="E30" i="4"/>
  <c r="F11" i="5" s="1"/>
  <c r="F13" i="5" s="1"/>
  <c r="E7" i="5" s="1"/>
  <c r="D101" i="8"/>
  <c r="D17" i="4"/>
  <c r="H37" i="7"/>
  <c r="G39" i="3" s="1"/>
  <c r="E33" i="7"/>
  <c r="E37" i="7" s="1"/>
  <c r="D39" i="3" s="1"/>
  <c r="D21" i="4"/>
  <c r="D23" i="4" s="1"/>
  <c r="C91" i="8"/>
  <c r="C140" i="8"/>
  <c r="I17" i="4"/>
  <c r="K17" i="4"/>
  <c r="B79" i="5"/>
  <c r="C24" i="3"/>
  <c r="B1" i="11"/>
  <c r="L44" i="11"/>
  <c r="L48" i="11"/>
  <c r="L52" i="11"/>
  <c r="L45" i="11"/>
  <c r="L49" i="11"/>
  <c r="L54" i="11"/>
  <c r="L47" i="11"/>
  <c r="L124" i="11"/>
  <c r="L46" i="11"/>
  <c r="L53" i="11"/>
  <c r="E53" i="7"/>
  <c r="H36" i="6"/>
  <c r="J72" i="6"/>
  <c r="G21" i="4"/>
  <c r="G23" i="4" s="1"/>
  <c r="K21" i="4"/>
  <c r="M30" i="4"/>
  <c r="I11" i="5"/>
  <c r="I13" i="5" s="1"/>
  <c r="K29" i="6"/>
  <c r="E31" i="3"/>
  <c r="H31" i="3"/>
  <c r="D31" i="3"/>
  <c r="G31" i="3"/>
  <c r="D3" i="11"/>
  <c r="D234" i="11"/>
  <c r="D30" i="4" l="1"/>
  <c r="E11" i="5" s="1"/>
  <c r="D53" i="4"/>
  <c r="D54" i="4" s="1"/>
  <c r="D56" i="4" s="1"/>
  <c r="I24" i="4"/>
  <c r="K24" i="4" s="1"/>
  <c r="G53" i="4"/>
  <c r="G54" i="4" s="1"/>
  <c r="G56" i="4" s="1"/>
  <c r="G30" i="4"/>
  <c r="H11" i="5" s="1"/>
  <c r="H53" i="7"/>
  <c r="H101" i="7" s="1"/>
  <c r="E101" i="7"/>
  <c r="D72" i="8" s="1"/>
  <c r="K31" i="3"/>
  <c r="C125" i="10"/>
  <c r="L117" i="11" s="1"/>
  <c r="C105" i="10"/>
  <c r="C100" i="10"/>
  <c r="C95" i="10"/>
  <c r="C90" i="10"/>
  <c r="D85" i="10"/>
  <c r="C78" i="10"/>
  <c r="C73" i="10"/>
  <c r="C59" i="10"/>
  <c r="L51" i="11" s="1"/>
  <c r="D50" i="10"/>
  <c r="C39" i="10"/>
  <c r="D34" i="10"/>
  <c r="D32" i="10"/>
  <c r="D30" i="10"/>
  <c r="C20" i="10"/>
  <c r="D124" i="10"/>
  <c r="C116" i="10"/>
  <c r="C113" i="10"/>
  <c r="C110" i="10"/>
  <c r="D107" i="10"/>
  <c r="D97" i="10"/>
  <c r="C85" i="10"/>
  <c r="D80" i="10"/>
  <c r="C58" i="10"/>
  <c r="C50" i="10"/>
  <c r="D36" i="10"/>
  <c r="C34" i="10"/>
  <c r="C32" i="10"/>
  <c r="C30" i="10"/>
  <c r="D138" i="10"/>
  <c r="C127" i="10"/>
  <c r="D102" i="10"/>
  <c r="C99" i="10"/>
  <c r="D96" i="10"/>
  <c r="D87" i="10"/>
  <c r="C76" i="10"/>
  <c r="D65" i="10"/>
  <c r="D53" i="10"/>
  <c r="D39" i="10"/>
  <c r="C31" i="10"/>
  <c r="C18" i="10"/>
  <c r="C8" i="10"/>
  <c r="C124" i="10"/>
  <c r="C93" i="10"/>
  <c r="C84" i="10"/>
  <c r="D81" i="10"/>
  <c r="D75" i="10"/>
  <c r="C72" i="10"/>
  <c r="D64" i="10"/>
  <c r="D68" i="10" s="1"/>
  <c r="I104" i="5" s="1"/>
  <c r="F104" i="5" s="1"/>
  <c r="D52" i="10"/>
  <c r="C42" i="10"/>
  <c r="D35" i="10"/>
  <c r="C33" i="10"/>
  <c r="K30" i="10"/>
  <c r="D20" i="10"/>
  <c r="E20" i="10" s="1"/>
  <c r="J20" i="10" s="1"/>
  <c r="C15" i="10"/>
  <c r="C7" i="10"/>
  <c r="C138" i="10"/>
  <c r="C123" i="10"/>
  <c r="D105" i="10"/>
  <c r="D94" i="10"/>
  <c r="C91" i="10"/>
  <c r="C87" i="10"/>
  <c r="C80" i="10"/>
  <c r="C65" i="10"/>
  <c r="D51" i="10"/>
  <c r="D40" i="10"/>
  <c r="D33" i="10"/>
  <c r="C19" i="10"/>
  <c r="C9" i="10"/>
  <c r="C117" i="10"/>
  <c r="D101" i="10"/>
  <c r="C94" i="10"/>
  <c r="D73" i="10"/>
  <c r="C64" i="10"/>
  <c r="C51" i="10"/>
  <c r="C40" i="10"/>
  <c r="C36" i="10"/>
  <c r="D16" i="10"/>
  <c r="E16" i="10" s="1"/>
  <c r="J16" i="10" s="1"/>
  <c r="D8" i="10"/>
  <c r="D132" i="10"/>
  <c r="D135" i="10" s="1"/>
  <c r="I80" i="7" s="1"/>
  <c r="F80" i="7" s="1"/>
  <c r="D104" i="10"/>
  <c r="C96" i="10"/>
  <c r="C88" i="10"/>
  <c r="D83" i="10"/>
  <c r="D79" i="10"/>
  <c r="C53" i="10"/>
  <c r="D6" i="10"/>
  <c r="C5" i="11"/>
  <c r="E5" i="11" s="1"/>
  <c r="G5" i="11" s="1"/>
  <c r="I5" i="11" s="1"/>
  <c r="C132" i="10"/>
  <c r="C114" i="10"/>
  <c r="C109" i="10"/>
  <c r="C104" i="10"/>
  <c r="D100" i="10"/>
  <c r="C83" i="10"/>
  <c r="C79" i="10"/>
  <c r="C52" i="10"/>
  <c r="D38" i="10"/>
  <c r="D31" i="10"/>
  <c r="C16" i="10"/>
  <c r="C6" i="10"/>
  <c r="D89" i="10"/>
  <c r="D74" i="10"/>
  <c r="C126" i="10"/>
  <c r="D99" i="10"/>
  <c r="C89" i="10"/>
  <c r="C74" i="10"/>
  <c r="K34" i="10"/>
  <c r="K33" i="10"/>
  <c r="D139" i="10"/>
  <c r="D123" i="10"/>
  <c r="D84" i="10"/>
  <c r="D18" i="10"/>
  <c r="E18" i="10" s="1"/>
  <c r="D140" i="10"/>
  <c r="D78" i="10"/>
  <c r="D14" i="10"/>
  <c r="C140" i="10"/>
  <c r="C115" i="10"/>
  <c r="C108" i="10"/>
  <c r="D98" i="10"/>
  <c r="D93" i="10"/>
  <c r="D72" i="10"/>
  <c r="C38" i="10"/>
  <c r="D17" i="10"/>
  <c r="E17" i="10" s="1"/>
  <c r="C14" i="10"/>
  <c r="C101" i="10"/>
  <c r="C82" i="10"/>
  <c r="C75" i="10"/>
  <c r="C17" i="10"/>
  <c r="D37" i="10"/>
  <c r="D88" i="10"/>
  <c r="C139" i="10"/>
  <c r="H82" i="7" s="1"/>
  <c r="E82" i="7" s="1"/>
  <c r="C71" i="10"/>
  <c r="D15" i="10"/>
  <c r="E15" i="10" s="1"/>
  <c r="D133" i="10"/>
  <c r="D86" i="10"/>
  <c r="D66" i="10"/>
  <c r="C133" i="10"/>
  <c r="C86" i="10"/>
  <c r="C66" i="10"/>
  <c r="C43" i="10"/>
  <c r="D9" i="10"/>
  <c r="D95" i="10"/>
  <c r="D7" i="10"/>
  <c r="C107" i="10"/>
  <c r="D91" i="10"/>
  <c r="K31" i="10"/>
  <c r="C118" i="10"/>
  <c r="I118" i="10" s="1"/>
  <c r="J118" i="10" s="1"/>
  <c r="C98" i="10"/>
  <c r="D90" i="10"/>
  <c r="C97" i="10"/>
  <c r="C81" i="10"/>
  <c r="D71" i="10"/>
  <c r="C37" i="10"/>
  <c r="D106" i="10"/>
  <c r="C106" i="10"/>
  <c r="D103" i="10"/>
  <c r="D77" i="10"/>
  <c r="C35" i="10"/>
  <c r="C103" i="10"/>
  <c r="C77" i="10"/>
  <c r="C112" i="10"/>
  <c r="K32" i="10"/>
  <c r="C92" i="10"/>
  <c r="D82" i="10"/>
  <c r="C111" i="10"/>
  <c r="C102" i="10"/>
  <c r="D92" i="10"/>
  <c r="D76" i="10"/>
  <c r="D19" i="10"/>
  <c r="E19" i="10" s="1"/>
  <c r="J19" i="10" s="1"/>
  <c r="D41" i="10"/>
  <c r="C41" i="10"/>
  <c r="C25" i="3"/>
  <c r="B98" i="5"/>
  <c r="I31" i="3"/>
  <c r="H10" i="3"/>
  <c r="H13" i="3" s="1"/>
  <c r="H7" i="5"/>
  <c r="E10" i="3"/>
  <c r="E13" i="3" s="1"/>
  <c r="F15" i="10" l="1"/>
  <c r="J15" i="10" s="1"/>
  <c r="K15" i="10" s="1"/>
  <c r="D45" i="10"/>
  <c r="E107" i="10"/>
  <c r="I107" i="10"/>
  <c r="L116" i="11"/>
  <c r="L103" i="11"/>
  <c r="E94" i="10"/>
  <c r="C55" i="10"/>
  <c r="H101" i="5" s="1"/>
  <c r="L115" i="11"/>
  <c r="E106" i="10"/>
  <c r="E79" i="10"/>
  <c r="L88" i="11"/>
  <c r="L85" i="11"/>
  <c r="E76" i="10"/>
  <c r="H9" i="5"/>
  <c r="E9" i="5" s="1"/>
  <c r="E13" i="5" s="1"/>
  <c r="H13" i="5"/>
  <c r="I74" i="10"/>
  <c r="J74" i="10" s="1"/>
  <c r="L83" i="11"/>
  <c r="L105" i="11"/>
  <c r="G96" i="10"/>
  <c r="E117" i="10"/>
  <c r="I117" i="10"/>
  <c r="E115" i="10"/>
  <c r="I115" i="10"/>
  <c r="E89" i="10"/>
  <c r="L98" i="11"/>
  <c r="C143" i="10"/>
  <c r="H81" i="7" s="1"/>
  <c r="E81" i="7" s="1"/>
  <c r="E85" i="10"/>
  <c r="L94" i="11"/>
  <c r="D140" i="8"/>
  <c r="G140" i="8" s="1"/>
  <c r="D91" i="8"/>
  <c r="F31" i="3"/>
  <c r="F45" i="3" s="1"/>
  <c r="F63" i="3" s="1"/>
  <c r="I45" i="3"/>
  <c r="I63" i="3" s="1"/>
  <c r="D120" i="10"/>
  <c r="I43" i="7" s="1"/>
  <c r="E73" i="10"/>
  <c r="I73" i="10"/>
  <c r="L82" i="11"/>
  <c r="E97" i="10"/>
  <c r="I97" i="10"/>
  <c r="L106" i="11"/>
  <c r="E82" i="10"/>
  <c r="I82" i="10" s="1"/>
  <c r="L91" i="11"/>
  <c r="E114" i="10"/>
  <c r="I114" i="10"/>
  <c r="L87" i="11"/>
  <c r="E78" i="10"/>
  <c r="I78" i="10"/>
  <c r="C31" i="3"/>
  <c r="B109" i="5"/>
  <c r="C135" i="10"/>
  <c r="H80" i="7" s="1"/>
  <c r="E80" i="7" s="1"/>
  <c r="E36" i="10"/>
  <c r="H36" i="10"/>
  <c r="L37" i="11"/>
  <c r="K45" i="10"/>
  <c r="K47" i="10" s="1"/>
  <c r="D143" i="10"/>
  <c r="I81" i="7" s="1"/>
  <c r="F81" i="7" s="1"/>
  <c r="E113" i="10"/>
  <c r="I113" i="10"/>
  <c r="E77" i="10"/>
  <c r="L86" i="11"/>
  <c r="E98" i="10"/>
  <c r="L107" i="11"/>
  <c r="C23" i="10"/>
  <c r="H34" i="5" s="1"/>
  <c r="F18" i="10"/>
  <c r="J18" i="10"/>
  <c r="K18" i="10" s="1"/>
  <c r="C11" i="10"/>
  <c r="H51" i="5" s="1"/>
  <c r="E40" i="10"/>
  <c r="L41" i="11"/>
  <c r="H33" i="10"/>
  <c r="I33" i="10" s="1"/>
  <c r="L33" i="10"/>
  <c r="L34" i="11"/>
  <c r="C45" i="10"/>
  <c r="H30" i="10"/>
  <c r="L30" i="10"/>
  <c r="L31" i="11"/>
  <c r="E116" i="10"/>
  <c r="I116" i="10"/>
  <c r="I90" i="10"/>
  <c r="J90" i="10" s="1"/>
  <c r="L99" i="11"/>
  <c r="I91" i="10"/>
  <c r="H91" i="10"/>
  <c r="L100" i="11"/>
  <c r="E105" i="10"/>
  <c r="I105" i="10"/>
  <c r="L114" i="11"/>
  <c r="C120" i="10"/>
  <c r="H43" i="7" s="1"/>
  <c r="E71" i="10"/>
  <c r="I71" i="10"/>
  <c r="L80" i="11"/>
  <c r="E88" i="10"/>
  <c r="L97" i="11"/>
  <c r="I72" i="10"/>
  <c r="J72" i="10" s="1"/>
  <c r="L81" i="11"/>
  <c r="C61" i="10"/>
  <c r="H102" i="5" s="1"/>
  <c r="E102" i="5" s="1"/>
  <c r="L50" i="11"/>
  <c r="E102" i="10"/>
  <c r="L111" i="11"/>
  <c r="E108" i="10"/>
  <c r="I108" i="10"/>
  <c r="L92" i="11"/>
  <c r="E83" i="10"/>
  <c r="I83" i="10" s="1"/>
  <c r="C129" i="10"/>
  <c r="H79" i="7" s="1"/>
  <c r="H39" i="10"/>
  <c r="I39" i="10" s="1"/>
  <c r="L40" i="11"/>
  <c r="E111" i="10"/>
  <c r="I111" i="10"/>
  <c r="H37" i="10"/>
  <c r="I37" i="10" s="1"/>
  <c r="L38" i="11"/>
  <c r="D55" i="10"/>
  <c r="I101" i="5" s="1"/>
  <c r="E43" i="10"/>
  <c r="H104" i="10"/>
  <c r="L113" i="11"/>
  <c r="K19" i="10"/>
  <c r="E84" i="10"/>
  <c r="I84" i="10"/>
  <c r="L93" i="11"/>
  <c r="I99" i="10"/>
  <c r="J99" i="10" s="1"/>
  <c r="L108" i="11"/>
  <c r="E92" i="10"/>
  <c r="L101" i="11"/>
  <c r="E81" i="10"/>
  <c r="L90" i="11"/>
  <c r="E75" i="10"/>
  <c r="I75" i="10" s="1"/>
  <c r="L84" i="11"/>
  <c r="E14" i="10"/>
  <c r="D23" i="10"/>
  <c r="I34" i="5" s="1"/>
  <c r="E109" i="10"/>
  <c r="I109" i="10"/>
  <c r="E93" i="10"/>
  <c r="I93" i="10"/>
  <c r="L102" i="11"/>
  <c r="L95" i="11"/>
  <c r="G86" i="10"/>
  <c r="E110" i="10"/>
  <c r="I110" i="10"/>
  <c r="E112" i="10"/>
  <c r="E101" i="10"/>
  <c r="I101" i="10"/>
  <c r="L110" i="11"/>
  <c r="H41" i="10"/>
  <c r="I41" i="10" s="1"/>
  <c r="L42" i="11"/>
  <c r="E103" i="10"/>
  <c r="I103" i="10" s="1"/>
  <c r="L112" i="11"/>
  <c r="F17" i="10"/>
  <c r="J17" i="10" s="1"/>
  <c r="K17" i="10" s="1"/>
  <c r="K16" i="10"/>
  <c r="D11" i="10"/>
  <c r="I51" i="5" s="1"/>
  <c r="E80" i="10"/>
  <c r="I80" i="10"/>
  <c r="L89" i="11"/>
  <c r="H31" i="10"/>
  <c r="I31" i="10" s="1"/>
  <c r="L31" i="10"/>
  <c r="L32" i="11"/>
  <c r="L32" i="10"/>
  <c r="H32" i="10"/>
  <c r="I32" i="10" s="1"/>
  <c r="L33" i="11"/>
  <c r="L104" i="11"/>
  <c r="E95" i="10"/>
  <c r="I95" i="10" s="1"/>
  <c r="H35" i="10"/>
  <c r="I35" i="10" s="1"/>
  <c r="L36" i="11"/>
  <c r="E38" i="10"/>
  <c r="H38" i="10"/>
  <c r="L39" i="11"/>
  <c r="D129" i="10"/>
  <c r="I79" i="7" s="1"/>
  <c r="C68" i="10"/>
  <c r="H104" i="5" s="1"/>
  <c r="E104" i="5" s="1"/>
  <c r="E87" i="10"/>
  <c r="L96" i="11"/>
  <c r="E42" i="10"/>
  <c r="L34" i="10"/>
  <c r="E34" i="10"/>
  <c r="L35" i="11"/>
  <c r="K20" i="10"/>
  <c r="I100" i="10"/>
  <c r="J100" i="10" s="1"/>
  <c r="L109" i="11"/>
  <c r="B4" i="6" l="1"/>
  <c r="B41" i="6"/>
  <c r="C33" i="3"/>
  <c r="I38" i="10"/>
  <c r="D10" i="3"/>
  <c r="D13" i="3" s="1"/>
  <c r="G10" i="3"/>
  <c r="I88" i="10"/>
  <c r="J88" i="10" s="1"/>
  <c r="I40" i="10"/>
  <c r="J78" i="10"/>
  <c r="J73" i="10"/>
  <c r="J89" i="10"/>
  <c r="H106" i="5"/>
  <c r="G24" i="3" s="1"/>
  <c r="E101" i="5"/>
  <c r="E106" i="5" s="1"/>
  <c r="D24" i="3" s="1"/>
  <c r="J101" i="10"/>
  <c r="J109" i="10"/>
  <c r="F101" i="5"/>
  <c r="F106" i="5" s="1"/>
  <c r="E24" i="3" s="1"/>
  <c r="I106" i="5"/>
  <c r="H24" i="3" s="1"/>
  <c r="H40" i="10"/>
  <c r="J94" i="10"/>
  <c r="F51" i="5"/>
  <c r="F61" i="5" s="1"/>
  <c r="E22" i="3" s="1"/>
  <c r="I61" i="5"/>
  <c r="H22" i="3" s="1"/>
  <c r="I37" i="5"/>
  <c r="H16" i="3" s="1"/>
  <c r="F34" i="5"/>
  <c r="F37" i="5" s="1"/>
  <c r="E16" i="3" s="1"/>
  <c r="J108" i="10"/>
  <c r="E51" i="5"/>
  <c r="E61" i="5" s="1"/>
  <c r="D22" i="3" s="1"/>
  <c r="H61" i="5"/>
  <c r="G22" i="3" s="1"/>
  <c r="I46" i="7"/>
  <c r="H40" i="3" s="1"/>
  <c r="F43" i="7"/>
  <c r="F46" i="7" s="1"/>
  <c r="E40" i="3" s="1"/>
  <c r="J76" i="10"/>
  <c r="I112" i="10"/>
  <c r="J112" i="10" s="1"/>
  <c r="E43" i="7"/>
  <c r="E46" i="7" s="1"/>
  <c r="D40" i="3" s="1"/>
  <c r="D45" i="3" s="1"/>
  <c r="H46" i="7"/>
  <c r="G40" i="3" s="1"/>
  <c r="J84" i="10"/>
  <c r="I30" i="10"/>
  <c r="I87" i="10"/>
  <c r="J87" i="10" s="1"/>
  <c r="G120" i="10"/>
  <c r="F34" i="9" s="1"/>
  <c r="F39" i="9" s="1"/>
  <c r="M45" i="10"/>
  <c r="H83" i="5"/>
  <c r="C47" i="10"/>
  <c r="E34" i="5"/>
  <c r="E37" i="5" s="1"/>
  <c r="D16" i="3" s="1"/>
  <c r="H37" i="5"/>
  <c r="G16" i="3" s="1"/>
  <c r="J105" i="10"/>
  <c r="I36" i="10"/>
  <c r="I96" i="10"/>
  <c r="J96" i="10" s="1"/>
  <c r="I79" i="10"/>
  <c r="J79" i="10" s="1"/>
  <c r="I84" i="7"/>
  <c r="H42" i="3" s="1"/>
  <c r="F79" i="7"/>
  <c r="F84" i="7" s="1"/>
  <c r="E42" i="3" s="1"/>
  <c r="I86" i="10"/>
  <c r="J86" i="10" s="1"/>
  <c r="J81" i="10"/>
  <c r="J104" i="10"/>
  <c r="J83" i="10"/>
  <c r="E45" i="10"/>
  <c r="E22" i="9" s="1"/>
  <c r="J93" i="10"/>
  <c r="I92" i="10"/>
  <c r="J92" i="10" s="1"/>
  <c r="H43" i="10"/>
  <c r="I43" i="10" s="1"/>
  <c r="I77" i="10"/>
  <c r="J77" i="10" s="1"/>
  <c r="H34" i="10"/>
  <c r="I34" i="10" s="1"/>
  <c r="J80" i="10"/>
  <c r="I89" i="10"/>
  <c r="J95" i="10"/>
  <c r="J116" i="10"/>
  <c r="J113" i="10"/>
  <c r="I94" i="10"/>
  <c r="H42" i="10"/>
  <c r="I42" i="10" s="1"/>
  <c r="F14" i="10"/>
  <c r="J14" i="10" s="1"/>
  <c r="K14" i="10" s="1"/>
  <c r="E120" i="10"/>
  <c r="D34" i="9" s="1"/>
  <c r="J71" i="10"/>
  <c r="J114" i="10"/>
  <c r="J115" i="10"/>
  <c r="I76" i="10"/>
  <c r="I120" i="10" s="1"/>
  <c r="H34" i="9" s="1"/>
  <c r="H39" i="9" s="1"/>
  <c r="J110" i="10"/>
  <c r="J75" i="10"/>
  <c r="J111" i="10"/>
  <c r="I102" i="10"/>
  <c r="J102" i="10" s="1"/>
  <c r="J82" i="10"/>
  <c r="J117" i="10"/>
  <c r="J107" i="10"/>
  <c r="J103" i="10"/>
  <c r="I83" i="5"/>
  <c r="D47" i="10"/>
  <c r="I81" i="10"/>
  <c r="I104" i="10"/>
  <c r="H84" i="7"/>
  <c r="G42" i="3" s="1"/>
  <c r="E79" i="7"/>
  <c r="E84" i="7" s="1"/>
  <c r="D42" i="3" s="1"/>
  <c r="J91" i="10"/>
  <c r="H120" i="10"/>
  <c r="G34" i="9" s="1"/>
  <c r="G39" i="9" s="1"/>
  <c r="I98" i="10"/>
  <c r="J98" i="10" s="1"/>
  <c r="J97" i="10"/>
  <c r="I85" i="10"/>
  <c r="J85" i="10" s="1"/>
  <c r="I106" i="10"/>
  <c r="J106" i="10" s="1"/>
  <c r="J120" i="10" l="1"/>
  <c r="E26" i="9"/>
  <c r="I45" i="10"/>
  <c r="H45" i="10"/>
  <c r="H22" i="9" s="1"/>
  <c r="H26" i="9" s="1"/>
  <c r="B4" i="7"/>
  <c r="C34" i="3"/>
  <c r="I34" i="9"/>
  <c r="I39" i="9" s="1"/>
  <c r="D39" i="9"/>
  <c r="E83" i="5"/>
  <c r="E85" i="5" s="1"/>
  <c r="D23" i="3" s="1"/>
  <c r="D27" i="3" s="1"/>
  <c r="D63" i="3" s="1"/>
  <c r="H85" i="5"/>
  <c r="G23" i="3" s="1"/>
  <c r="G13" i="3"/>
  <c r="K10" i="3"/>
  <c r="E45" i="3"/>
  <c r="M27" i="3"/>
  <c r="H45" i="3"/>
  <c r="I85" i="5"/>
  <c r="H23" i="3" s="1"/>
  <c r="M26" i="3" s="1"/>
  <c r="M28" i="3" s="1"/>
  <c r="F83" i="5"/>
  <c r="F85" i="5" s="1"/>
  <c r="E23" i="3" s="1"/>
  <c r="E27" i="3" s="1"/>
  <c r="E63" i="3" s="1"/>
  <c r="L27" i="3"/>
  <c r="J39" i="9"/>
  <c r="K38" i="3"/>
  <c r="L38" i="3" s="1"/>
  <c r="G45" i="3"/>
  <c r="L26" i="3" l="1"/>
  <c r="L28" i="3" s="1"/>
  <c r="K21" i="3"/>
  <c r="L21" i="3" s="1"/>
  <c r="C36" i="3"/>
  <c r="B12" i="7"/>
  <c r="H27" i="3"/>
  <c r="H63" i="3" s="1"/>
  <c r="I22" i="9"/>
  <c r="I26" i="9" s="1"/>
  <c r="J26" i="9" s="1"/>
  <c r="G27" i="3"/>
  <c r="G63" i="3" s="1"/>
  <c r="L31" i="3" s="1"/>
  <c r="B21" i="7" l="1"/>
  <c r="C39" i="3"/>
  <c r="C40" i="3" l="1"/>
  <c r="B29" i="7"/>
  <c r="B40" i="7" l="1"/>
  <c r="C41" i="3"/>
  <c r="B59" i="7" l="1"/>
  <c r="C42" i="3"/>
  <c r="C43" i="3" l="1"/>
  <c r="B75" i="7"/>
  <c r="B87" i="7" l="1"/>
  <c r="C8" i="4"/>
  <c r="B4" i="8" l="1"/>
  <c r="C9" i="4"/>
  <c r="B12" i="8" l="1"/>
  <c r="C13" i="4"/>
  <c r="C14" i="4" l="1"/>
  <c r="B21" i="8"/>
  <c r="B28" i="8" l="1"/>
  <c r="C15" i="4"/>
  <c r="B37" i="8" l="1"/>
  <c r="C16" i="4"/>
  <c r="C17" i="4" l="1"/>
  <c r="B78" i="8"/>
  <c r="B97" i="8" l="1"/>
  <c r="C18" i="4"/>
  <c r="B104" i="8" l="1"/>
  <c r="C19" i="4"/>
  <c r="B116" i="8" s="1"/>
  <c r="B4" i="9" s="1"/>
  <c r="B17" i="9" l="1"/>
  <c r="B29" i="9" s="1"/>
  <c r="C44" i="7" s="1"/>
  <c r="B41" i="9"/>
</calcChain>
</file>

<file path=xl/sharedStrings.xml><?xml version="1.0" encoding="utf-8"?>
<sst xmlns="http://schemas.openxmlformats.org/spreadsheetml/2006/main" count="946" uniqueCount="588">
  <si>
    <t>Client Detail</t>
  </si>
  <si>
    <t>rounding off</t>
  </si>
  <si>
    <t>Firm Name</t>
  </si>
  <si>
    <t>SINGLA STEEL CORPORATION</t>
  </si>
  <si>
    <t>Partner /Auth.Sign. Name</t>
  </si>
  <si>
    <t>ASHWANI KUMAR SINGLA</t>
  </si>
  <si>
    <t>Status</t>
  </si>
  <si>
    <t>PROPRIETOR</t>
  </si>
  <si>
    <t xml:space="preserve">Address </t>
  </si>
  <si>
    <t>#16/26 17/27, Industrial Area, Dehlon-Sahnewal Road, Paddi</t>
  </si>
  <si>
    <t>City</t>
  </si>
  <si>
    <t>Ludhiana</t>
  </si>
  <si>
    <t>State</t>
  </si>
  <si>
    <t>Punjab</t>
  </si>
  <si>
    <t>PIN Code</t>
  </si>
  <si>
    <t>PAN</t>
  </si>
  <si>
    <t>ASRPS7924E</t>
  </si>
  <si>
    <t>Firm Status</t>
  </si>
  <si>
    <t>Proprietorship Firm</t>
  </si>
  <si>
    <t>Have to Change Manually</t>
  </si>
  <si>
    <t>Financial Year Starting from</t>
  </si>
  <si>
    <t>1st April, 2024</t>
  </si>
  <si>
    <t>Financial Year Ended</t>
  </si>
  <si>
    <t>31st March, 2025</t>
  </si>
  <si>
    <t xml:space="preserve">Financial Year </t>
  </si>
  <si>
    <t>2023-24</t>
  </si>
  <si>
    <t>31.03.2025</t>
  </si>
  <si>
    <t>Current Year ending</t>
  </si>
  <si>
    <t>Assessment Year</t>
  </si>
  <si>
    <t>2024-25</t>
  </si>
  <si>
    <t>31.03.2024</t>
  </si>
  <si>
    <t>Previous Year ending</t>
  </si>
  <si>
    <t>Head Office</t>
  </si>
  <si>
    <t>Branch</t>
  </si>
  <si>
    <t>Nil</t>
  </si>
  <si>
    <t>Nature of Business</t>
  </si>
  <si>
    <t>Trading</t>
  </si>
  <si>
    <t>GSTIN</t>
  </si>
  <si>
    <t>03ASRPS7924E1ZE</t>
  </si>
  <si>
    <t>Excise Registration No.</t>
  </si>
  <si>
    <t>Not Registered</t>
  </si>
  <si>
    <t>Service Tax Registration No.</t>
  </si>
  <si>
    <t>Import Export Code</t>
  </si>
  <si>
    <t>Main Work Sheets</t>
  </si>
  <si>
    <t>Stock Information</t>
  </si>
  <si>
    <t>Audit Report Information</t>
  </si>
  <si>
    <t>Certificate</t>
  </si>
  <si>
    <t>Trading '!A1</t>
  </si>
  <si>
    <t>Stock tallies'!A1</t>
  </si>
  <si>
    <t>Frunt!A1</t>
  </si>
  <si>
    <t>cerificare 40A(3)'!A1</t>
  </si>
  <si>
    <t>Profit &amp; Loss'!A1</t>
  </si>
  <si>
    <t>Stock Valuation'!A1</t>
  </si>
  <si>
    <t>3CB'!A1</t>
  </si>
  <si>
    <t>Certificare Relatives'!A1</t>
  </si>
  <si>
    <t>Balancesheet!A1</t>
  </si>
  <si>
    <t>Excise Duty Details'!A1</t>
  </si>
  <si>
    <t>3CD'!A1</t>
  </si>
  <si>
    <t>certificate_269SS &amp; T'!A1</t>
  </si>
  <si>
    <t>Schedule!A1</t>
  </si>
  <si>
    <t>PF &amp; ESI'!A1</t>
  </si>
  <si>
    <t>SIGNIFICANT!A1</t>
  </si>
  <si>
    <t>Depreciation!A1</t>
  </si>
  <si>
    <t>269SS &amp; T'!A1</t>
  </si>
  <si>
    <t>Annexure-I'!A1</t>
  </si>
  <si>
    <t>Annexure-II'!A1</t>
  </si>
  <si>
    <t>Chartered Accountants Detail</t>
  </si>
  <si>
    <t>KUMAR GUPTA &amp; ASSOCIATES</t>
  </si>
  <si>
    <t>Chartered Accountants</t>
  </si>
  <si>
    <t>Address</t>
  </si>
  <si>
    <t>193-FF, Nitesh Vihar, Dhandra Road, Dugri</t>
  </si>
  <si>
    <t xml:space="preserve">Firm PAN </t>
  </si>
  <si>
    <t>ADAFS7726G</t>
  </si>
  <si>
    <t>Firm FRN Number</t>
  </si>
  <si>
    <t>035355N</t>
  </si>
  <si>
    <t>Contact No.</t>
  </si>
  <si>
    <t>Mobile:- 9417115387</t>
  </si>
  <si>
    <t>Chartered Accountant Name</t>
  </si>
  <si>
    <t>CA. Keshav Gupta</t>
  </si>
  <si>
    <t>Membership Number</t>
  </si>
  <si>
    <t>M.No. 553123</t>
  </si>
  <si>
    <t>Proprietor</t>
  </si>
  <si>
    <t>Date of Signing Report.</t>
  </si>
  <si>
    <t>18.09.2024</t>
  </si>
  <si>
    <t>HARMAN &amp; COMPANY</t>
  </si>
  <si>
    <t xml:space="preserve">LUDHIANA </t>
  </si>
  <si>
    <t>CHARTERED ACCOUNTANTS</t>
  </si>
  <si>
    <t>MOBILE:- 8699952068</t>
  </si>
  <si>
    <t>Ø</t>
  </si>
  <si>
    <t>Audit Report for the year ended on 31st March, 2025</t>
  </si>
  <si>
    <t>Balance Sheet for the year ended on 31st March, 2025</t>
  </si>
  <si>
    <t># 6, 2nd Floor, Nego Complex</t>
  </si>
  <si>
    <t>Pakhowal Road, Gurdev Nagar</t>
  </si>
  <si>
    <t>Ludhiana Punjab - 141001</t>
  </si>
  <si>
    <t>Mobile:- 8699952068</t>
  </si>
  <si>
    <t>CIN - U17309PB2020PTC052239</t>
  </si>
  <si>
    <t>(Amount in INR)</t>
  </si>
  <si>
    <t>PARTICULARS</t>
  </si>
  <si>
    <t>NOTE NO.</t>
  </si>
  <si>
    <t>As at 31.03.2022</t>
  </si>
  <si>
    <t>Trial Total</t>
  </si>
  <si>
    <t>Check</t>
  </si>
  <si>
    <t>I. OWNERS’ FUNDS AND LIABILITIES</t>
  </si>
  <si>
    <t>(1) Proprietors’ Fund</t>
  </si>
  <si>
    <t>(a) Capital Account</t>
  </si>
  <si>
    <t>(b) Reserves and Surplus</t>
  </si>
  <si>
    <t>(2) Non-Current Liabilities</t>
  </si>
  <si>
    <t>(a) Long-term borrowings</t>
  </si>
  <si>
    <t>(b) Deferred tax liabilities (Net)</t>
  </si>
  <si>
    <t>(c) Other Long term liabilities</t>
  </si>
  <si>
    <t>(d) Long-term provisions</t>
  </si>
  <si>
    <t>(3) Current Liabilities</t>
  </si>
  <si>
    <t>(a) Short-term borrowings</t>
  </si>
  <si>
    <t>(b) Trade payables</t>
  </si>
  <si>
    <t>(c) Other current liabilities</t>
  </si>
  <si>
    <t>(d) Short-term provisions</t>
  </si>
  <si>
    <t>DP on Stock</t>
  </si>
  <si>
    <t>TOTAL</t>
  </si>
  <si>
    <t>DP on Debtors</t>
  </si>
  <si>
    <t>II. ASSETS</t>
  </si>
  <si>
    <t>Total DP</t>
  </si>
  <si>
    <t>(1) Non-Current Assets</t>
  </si>
  <si>
    <t>(a) Property, Plant &amp; Equipment and Intangible assets</t>
  </si>
  <si>
    <t xml:space="preserve">     (i) Property, Plant &amp; Equipment</t>
  </si>
  <si>
    <t xml:space="preserve">     (ii) Capital Work-in-Progress</t>
  </si>
  <si>
    <t>(b) Non-current investment</t>
  </si>
  <si>
    <t>(c) Deferred tax assets (net)</t>
  </si>
  <si>
    <t>(d) Long-term loans and advances</t>
  </si>
  <si>
    <t>(e) Other non-current assets</t>
  </si>
  <si>
    <t>(2) Current Assets</t>
  </si>
  <si>
    <t>(a) Inventories</t>
  </si>
  <si>
    <t>(b) Trade receivables</t>
  </si>
  <si>
    <t>(c) Cash and bank balances</t>
  </si>
  <si>
    <t>(d) Short-term loans and advances</t>
  </si>
  <si>
    <t>(e) Other current assets</t>
  </si>
  <si>
    <t xml:space="preserve">Summary of Significant Accounting Policies </t>
  </si>
  <si>
    <t>The accompanying Notes are an integral part of the financial statements .</t>
  </si>
  <si>
    <t>This is the Balance Sheet referred to in our report of even date</t>
  </si>
  <si>
    <t>UDIN : 25553123BMLDXE6873</t>
  </si>
  <si>
    <t xml:space="preserve">Place  : Ludhiana           </t>
  </si>
  <si>
    <t>Dated  :  04-Oct-2025</t>
  </si>
  <si>
    <t>diff….</t>
  </si>
  <si>
    <t>I. Revenue from operations</t>
  </si>
  <si>
    <t>II. Other Income</t>
  </si>
  <si>
    <t>III. Total Income (I +II)</t>
  </si>
  <si>
    <t>IV. Expenses:</t>
  </si>
  <si>
    <t>Cost of Material consumed</t>
  </si>
  <si>
    <t>Purchase of Stock-in-Trade</t>
  </si>
  <si>
    <t>Changes in Inventories of Finished Goods,
Work-in-Progress and Stock-in-Trade</t>
  </si>
  <si>
    <t>Employee Benefit Expense</t>
  </si>
  <si>
    <t>Depreciation and amortisation expense</t>
  </si>
  <si>
    <t>Finance costs</t>
  </si>
  <si>
    <t>Other expenses</t>
  </si>
  <si>
    <t>Total Expenses</t>
  </si>
  <si>
    <t>V. Profit before tax (III -IV)</t>
  </si>
  <si>
    <t>VI. Tax expense:</t>
  </si>
  <si>
    <t xml:space="preserve"> (1) Current tax</t>
  </si>
  <si>
    <t xml:space="preserve"> (2) Deferred tax</t>
  </si>
  <si>
    <t xml:space="preserve"> (3) Taxes relating to earlier years</t>
  </si>
  <si>
    <t>VII. Profit/(Loss) for the period (VII-VIII)</t>
  </si>
  <si>
    <t>The accompanying Notes are integral part of the financial statements.</t>
  </si>
  <si>
    <t>This is the Statement of Profit and Loss referred to in our report of even date</t>
  </si>
  <si>
    <t>Gross Profit</t>
  </si>
  <si>
    <t>GP Ratio</t>
  </si>
  <si>
    <t>Net Profit</t>
  </si>
  <si>
    <t>NP Ratio</t>
  </si>
  <si>
    <t>Owners Capital Account</t>
  </si>
  <si>
    <t>(a)</t>
  </si>
  <si>
    <t>Add / (Less) : Net Change during the year</t>
  </si>
  <si>
    <t>Add: Share of Profit / Loss for the year</t>
  </si>
  <si>
    <t>Reserves &amp; Surplus</t>
  </si>
  <si>
    <t xml:space="preserve">Surplus </t>
  </si>
  <si>
    <t>Opening Balance</t>
  </si>
  <si>
    <t>Add: Profit/(Loss) During the year</t>
  </si>
  <si>
    <t>*</t>
  </si>
  <si>
    <t>Closing Balance</t>
  </si>
  <si>
    <t>Long-Term Borrowings</t>
  </si>
  <si>
    <t>Secured</t>
  </si>
  <si>
    <t>Term Loans</t>
  </si>
  <si>
    <t>From Banks</t>
  </si>
  <si>
    <t>Term Loan from Central Bank of India</t>
  </si>
  <si>
    <t>( Secured by Hypothecation of Plant and Machinery, Personal Property of Director at Ludhiana along with Personal Guarantee of Directors )</t>
  </si>
  <si>
    <t>Unsecured</t>
  </si>
  <si>
    <t>Loans and advances from Related Parties</t>
  </si>
  <si>
    <t>Loans repayable in 2024-25</t>
  </si>
  <si>
    <t>Total</t>
  </si>
  <si>
    <t>Short-Term Borrowings</t>
  </si>
  <si>
    <t>OD Limit  (From Banks)</t>
  </si>
  <si>
    <t>- HDFC Bank Limited</t>
  </si>
  <si>
    <t>( Secured by Hypothecation of Stock and Receivable at all present and future location of the firm )</t>
  </si>
  <si>
    <t>(b)</t>
  </si>
  <si>
    <t>Current Maturities of Long-term Borrowings</t>
  </si>
  <si>
    <t xml:space="preserve">From Related Parties </t>
  </si>
  <si>
    <t>Inter Corporate deposits repayable on demand</t>
  </si>
  <si>
    <t>-10.00% p.a. Interest (Previous year 10% p.a. interest)</t>
  </si>
  <si>
    <t xml:space="preserve"> Trade Payables</t>
  </si>
  <si>
    <t>Trade Payables</t>
  </si>
  <si>
    <t>total outstanding dues of micro enterprises and small enterprises</t>
  </si>
  <si>
    <t>total outstanding dues of creditors other than micro enterprises and small enterprises</t>
  </si>
  <si>
    <t>Discosure relating to suppliers registered under MSMED Act based on the information available with the entity.</t>
  </si>
  <si>
    <t>Other Current Liabilities</t>
  </si>
  <si>
    <t xml:space="preserve"> (a)</t>
  </si>
  <si>
    <t>Other Payables</t>
  </si>
  <si>
    <t>i)</t>
  </si>
  <si>
    <t>Statutory Duties &amp; Taxes</t>
  </si>
  <si>
    <t>Advance from Customers</t>
  </si>
  <si>
    <t>ii)</t>
  </si>
  <si>
    <t>Audit fees payable</t>
  </si>
  <si>
    <t>iii)</t>
  </si>
  <si>
    <t>Expenses Payable</t>
  </si>
  <si>
    <t>Short-Term Provisions</t>
  </si>
  <si>
    <t xml:space="preserve">Others </t>
  </si>
  <si>
    <t>i) Provision for Income Tax</t>
  </si>
  <si>
    <t>Less: Advance Tax</t>
  </si>
  <si>
    <t>Property , Plant &amp; Equipment</t>
  </si>
  <si>
    <t xml:space="preserve">Sr No </t>
  </si>
  <si>
    <t>WDV AS AT 01.04.2024</t>
  </si>
  <si>
    <t>ADDITIONS DURING THE YEAR (USED FOR MORE THAN 180 DAYS</t>
  </si>
  <si>
    <t>ADDITIONS DURING THE YEAR (USED FOR LESS THAN 180 DAYS</t>
  </si>
  <si>
    <t>SALE / ADJ. DURING THE YEAR</t>
  </si>
  <si>
    <t>RATE OF DEPRECIATION</t>
  </si>
  <si>
    <t>DEPRECIATION PROVIDED FOR THE  YEAR</t>
  </si>
  <si>
    <t>WDV AS AT
31.03.2025</t>
  </si>
  <si>
    <t>i) Tangible Assets</t>
  </si>
  <si>
    <t>FURNITURE &amp; FIXTURES</t>
  </si>
  <si>
    <t>OFFICE EQUIPMENTS</t>
  </si>
  <si>
    <t>MACHINERY</t>
  </si>
  <si>
    <t>COMPUTER</t>
  </si>
  <si>
    <t>VEHICLES</t>
  </si>
  <si>
    <t>Ii) Intangible Assets</t>
  </si>
  <si>
    <t>COMPUTER SOFTWARE</t>
  </si>
  <si>
    <t>TRADEMARKS</t>
  </si>
  <si>
    <t>PREVIOUS YEAR</t>
  </si>
  <si>
    <t>WDV AS AT 01.04.2022</t>
  </si>
  <si>
    <t>WDV AS AT
31.03.2023</t>
  </si>
  <si>
    <t>=</t>
  </si>
  <si>
    <t xml:space="preserve"> </t>
  </si>
  <si>
    <t>Non-Current Investments</t>
  </si>
  <si>
    <t>Investment in Gold</t>
  </si>
  <si>
    <t>Deferred Tax Assets (Net)</t>
  </si>
  <si>
    <t>Deferred tax asset</t>
  </si>
  <si>
    <t>Related to Property, Plant &amp; Equipments</t>
  </si>
  <si>
    <t>Related to Pre-incorporation Expenses</t>
  </si>
  <si>
    <t>Other Non Current Assets</t>
  </si>
  <si>
    <t>Security Deposits</t>
  </si>
  <si>
    <t>Inventories</t>
  </si>
  <si>
    <t>Raw Material</t>
  </si>
  <si>
    <t>Work-in-Progress</t>
  </si>
  <si>
    <t>(c)</t>
  </si>
  <si>
    <t>Finished Goods</t>
  </si>
  <si>
    <t>Stock-in-Trade</t>
  </si>
  <si>
    <t>Trade Receivables</t>
  </si>
  <si>
    <t>Unsecured, Considered Good</t>
  </si>
  <si>
    <t>Cash and Bank Balances</t>
  </si>
  <si>
    <t>Cash &amp; Cash Equivalents</t>
  </si>
  <si>
    <t>Balances with banks</t>
  </si>
  <si>
    <t>Cheques-in-Hand</t>
  </si>
  <si>
    <t>Cash on hand</t>
  </si>
  <si>
    <t>Other Bank Balances</t>
  </si>
  <si>
    <t>Time Deposits with banks</t>
  </si>
  <si>
    <t xml:space="preserve">Total </t>
  </si>
  <si>
    <t>Short-Terms Loans and Advances</t>
  </si>
  <si>
    <t>Others</t>
  </si>
  <si>
    <t>(i)</t>
  </si>
  <si>
    <t>Advances to Suppliers</t>
  </si>
  <si>
    <t>(ii)</t>
  </si>
  <si>
    <t>Prepaid Expenses</t>
  </si>
  <si>
    <t>Balance with Revenue Authorities</t>
  </si>
  <si>
    <t>(iii)</t>
  </si>
  <si>
    <t>Advance Tax (Net of Provision for Income Tax)</t>
  </si>
  <si>
    <t>Other Current Assets</t>
  </si>
  <si>
    <t>Suspense</t>
  </si>
  <si>
    <t>Revenue from Operations</t>
  </si>
  <si>
    <t>Sale of products</t>
  </si>
  <si>
    <t>shall be zero</t>
  </si>
  <si>
    <t>Other Income</t>
  </si>
  <si>
    <t>Interest Income</t>
  </si>
  <si>
    <t>Rebate &amp; Discount</t>
  </si>
  <si>
    <t>Foreign Exchange Gain</t>
  </si>
  <si>
    <t>Cost of materials consumed</t>
  </si>
  <si>
    <t>Purchase of Raw Material</t>
  </si>
  <si>
    <t>Purchases of Stock-in-Trade</t>
  </si>
  <si>
    <t>Purchase of products</t>
  </si>
  <si>
    <t>Freight and Cartage Inward</t>
  </si>
  <si>
    <t xml:space="preserve">Opening Stock </t>
  </si>
  <si>
    <t xml:space="preserve">Less : Closing Stock </t>
  </si>
  <si>
    <t>Details of Inventroy:</t>
  </si>
  <si>
    <t>-Yarn</t>
  </si>
  <si>
    <t>-Fibre</t>
  </si>
  <si>
    <t>-Waste</t>
  </si>
  <si>
    <t>Salaries and Wages</t>
  </si>
  <si>
    <t>Salary to Partners</t>
  </si>
  <si>
    <t>Staff Welfare</t>
  </si>
  <si>
    <t xml:space="preserve">Depreciation </t>
  </si>
  <si>
    <t>Depreciation</t>
  </si>
  <si>
    <t>Finance Cost</t>
  </si>
  <si>
    <t>Interest Expense</t>
  </si>
  <si>
    <t>-Interest on Term Loan</t>
  </si>
  <si>
    <t>-Interest on CC Account</t>
  </si>
  <si>
    <t>Other Borrowing Cost</t>
  </si>
  <si>
    <t>-Bank Charges</t>
  </si>
  <si>
    <t>-Other Expense</t>
  </si>
  <si>
    <t>Other Expenses</t>
  </si>
  <si>
    <t>Audit Fees (excl. GST)</t>
  </si>
  <si>
    <t>Commission on Sales</t>
  </si>
  <si>
    <t>Conveyance Expense</t>
  </si>
  <si>
    <t>(d)</t>
  </si>
  <si>
    <t>Entertainment Expense</t>
  </si>
  <si>
    <t>(e)</t>
  </si>
  <si>
    <t>Fees and Taxes</t>
  </si>
  <si>
    <t>(f)</t>
  </si>
  <si>
    <t>Insurance Expense</t>
  </si>
  <si>
    <t>(g)</t>
  </si>
  <si>
    <t>Misc Expense</t>
  </si>
  <si>
    <t>(h)</t>
  </si>
  <si>
    <t>Power and Fuel</t>
  </si>
  <si>
    <t>Printing and Stationery Expense</t>
  </si>
  <si>
    <t>(j)</t>
  </si>
  <si>
    <t>Professional Expense</t>
  </si>
  <si>
    <t>(k)</t>
  </si>
  <si>
    <t>Rebate and Discount</t>
  </si>
  <si>
    <t>(l)</t>
  </si>
  <si>
    <t>Rent Expense</t>
  </si>
  <si>
    <t>(m)</t>
  </si>
  <si>
    <t>Repairs to machinery</t>
  </si>
  <si>
    <t>(n)</t>
  </si>
  <si>
    <t>Telephone &amp; Internet</t>
  </si>
  <si>
    <t>Traveling Expense</t>
  </si>
  <si>
    <t>Based upon the intimation received from the suppliers, principal amount unpaid to such suppliers who qualify under the definition of micro and small enterprises, as under Micro, Small and Medium Development, 2006 as at 31st March,2024 are as follows;</t>
  </si>
  <si>
    <t>Particulars</t>
  </si>
  <si>
    <t>a</t>
  </si>
  <si>
    <t>Principal Amount remaining unpaid but not due as at the year end.</t>
  </si>
  <si>
    <t>b</t>
  </si>
  <si>
    <t>Interest due thereon and remaining unpaid as at the year end</t>
  </si>
  <si>
    <t>c</t>
  </si>
  <si>
    <t>Interest paid by the Company in terms of Section 16 of Micro, Small &amp; Medium Enterprises Development Act 2006 along with the amount of payment made to the supplier beyond the appointed day during the year</t>
  </si>
  <si>
    <t>d</t>
  </si>
  <si>
    <t>Interest due and payable for the period of delay in making payment (which have been paid but beyond the appointed day during the year) but without adding the interest specified under Micro, Small and Medium Enterprises Development Act, 2006</t>
  </si>
  <si>
    <t>e</t>
  </si>
  <si>
    <t>Interest accrued and remaining unpaid as at the year end</t>
  </si>
  <si>
    <t>f</t>
  </si>
  <si>
    <t>Further interest remaining due and payable even in the succeeding year, until such date when the interest dues as above are actually paid to the small enterprises, for the purpose of disallowance of a deductible expenditure under section 23 of the Micro, Small and Medium Enterprises Development Act, 2006.</t>
  </si>
  <si>
    <t>Trade Payables ageing schedule</t>
  </si>
  <si>
    <t>Sr. No.</t>
  </si>
  <si>
    <t>Outstanding for following periods from due date of payment</t>
  </si>
  <si>
    <t xml:space="preserve"> Less than 1 year</t>
  </si>
  <si>
    <t>1-2  years</t>
  </si>
  <si>
    <t xml:space="preserve"> 2-3 years</t>
  </si>
  <si>
    <t>More than 3 years</t>
  </si>
  <si>
    <t>Undisputed Trade Payables</t>
  </si>
  <si>
    <t>MSME</t>
  </si>
  <si>
    <t>Disputed Trade Payables</t>
  </si>
  <si>
    <t>Trade Receivables ageing schedule</t>
  </si>
  <si>
    <t>Less than 6 months</t>
  </si>
  <si>
    <t>6 months -1 year</t>
  </si>
  <si>
    <t>Undisputed Trade receivables</t>
  </si>
  <si>
    <t>considered good</t>
  </si>
  <si>
    <t>considered doubtful</t>
  </si>
  <si>
    <t>Disputed Trade Receivables</t>
  </si>
  <si>
    <t>Figures for the previous year have been regrouped/ reclassified, where necessary to conform to current year’s classification.</t>
  </si>
  <si>
    <t>Secured Loans</t>
  </si>
  <si>
    <t>HDFC CC A/c</t>
  </si>
  <si>
    <t>Opening</t>
  </si>
  <si>
    <t>Received</t>
  </si>
  <si>
    <t>Repayment</t>
  </si>
  <si>
    <t>Interest</t>
  </si>
  <si>
    <t>TDS on Interest</t>
  </si>
  <si>
    <t>Closing</t>
  </si>
  <si>
    <t>Loans and Advances from Related Parties</t>
  </si>
  <si>
    <t>Ankush Kumar Singla</t>
  </si>
  <si>
    <t>Ankush Kumar Singla (HUF)</t>
  </si>
  <si>
    <t>Ashwani Kumar HUF</t>
  </si>
  <si>
    <t>Manju Singla</t>
  </si>
  <si>
    <t>Megha Singla</t>
  </si>
  <si>
    <t>Saloni Singla</t>
  </si>
  <si>
    <t>Chehak Singla</t>
  </si>
  <si>
    <t>less than 1 year</t>
  </si>
  <si>
    <t>Addi Alloys Pvt.Ltd</t>
  </si>
  <si>
    <t>Garg Sales Corporation</t>
  </si>
  <si>
    <t>Ingottastic Llp</t>
  </si>
  <si>
    <t>Monga Brothers (Unit II)</t>
  </si>
  <si>
    <t>Nitin Road Carrier</t>
  </si>
  <si>
    <t>Onkar Multimetals &amp; Alloys</t>
  </si>
  <si>
    <t>R G D Special Ispat</t>
  </si>
  <si>
    <t>R.K.Steels (India)</t>
  </si>
  <si>
    <t>Singla Transport Service</t>
  </si>
  <si>
    <t>Sonalika Agro Industries Corporation</t>
  </si>
  <si>
    <t>Srv Steels Pvt.Ltd. Unit -2</t>
  </si>
  <si>
    <t>Vasu Multimetals (P) Limited</t>
  </si>
  <si>
    <t>Ahran Multitech Private Limited</t>
  </si>
  <si>
    <t>Sharu Industries</t>
  </si>
  <si>
    <t>GST</t>
  </si>
  <si>
    <t>TDS Payable</t>
  </si>
  <si>
    <t>TCS Payable</t>
  </si>
  <si>
    <t>TDS (under GST) Payable</t>
  </si>
  <si>
    <t>Advances from Customers</t>
  </si>
  <si>
    <t>GILL INDUSTRIES</t>
  </si>
  <si>
    <t>GURU KIRPA INDUSTRIES</t>
  </si>
  <si>
    <t>General Expenses Payable</t>
  </si>
  <si>
    <t>Salary Payable</t>
  </si>
  <si>
    <t>Electricity Expense Payable</t>
  </si>
  <si>
    <t>Accounting Charges Payable</t>
  </si>
  <si>
    <t>Anamika Fasteners</t>
  </si>
  <si>
    <t>Ankush Enterprises</t>
  </si>
  <si>
    <t>Ashirvad Enterprises</t>
  </si>
  <si>
    <t>B.K Auto Industries</t>
  </si>
  <si>
    <t>B.S.Mechanical Works</t>
  </si>
  <si>
    <t>Brij Cycle Industries</t>
  </si>
  <si>
    <t>Ess Ess Steel Castings &amp; Rollings Mills Pvt L</t>
  </si>
  <si>
    <t>G T B Industries</t>
  </si>
  <si>
    <t>G.S. &amp; Sons</t>
  </si>
  <si>
    <t>Gahir Product (India)</t>
  </si>
  <si>
    <t>Gill Industries</t>
  </si>
  <si>
    <t>Guru Kirpa Industries</t>
  </si>
  <si>
    <t>Hamco Power Ventures Private Limited</t>
  </si>
  <si>
    <t>Hi-Tech Engineers</t>
  </si>
  <si>
    <t>Isher Udyog</t>
  </si>
  <si>
    <t>J.J.Industries</t>
  </si>
  <si>
    <t>Kalgidhar Udyog</t>
  </si>
  <si>
    <t>Kalia Steel Industry</t>
  </si>
  <si>
    <t>Karamsar Industries</t>
  </si>
  <si>
    <t>Kunal Steel Corporation</t>
  </si>
  <si>
    <t>Mankoo Brothers (Regd.)</t>
  </si>
  <si>
    <t>New Surindra Industries</t>
  </si>
  <si>
    <t>Panesar Enterprises</t>
  </si>
  <si>
    <t>Prakash Cycle Industries</t>
  </si>
  <si>
    <t>Prince Enterprises</t>
  </si>
  <si>
    <t>R.K.Industries</t>
  </si>
  <si>
    <t>Ranjit Auto Com</t>
  </si>
  <si>
    <t>Rockey Industries</t>
  </si>
  <si>
    <t>Ruby Cycle</t>
  </si>
  <si>
    <t>Ruby Products</t>
  </si>
  <si>
    <t>S.K.G Enterprises</t>
  </si>
  <si>
    <t>S.S.Lotey @ Sons</t>
  </si>
  <si>
    <t>Shri Balaji Multimetals P Ltd</t>
  </si>
  <si>
    <t>Shri Trivani Puri Stee (Steel Rolling M)</t>
  </si>
  <si>
    <t>Sudhir International</t>
  </si>
  <si>
    <t>Sukirti International</t>
  </si>
  <si>
    <t>T.K. Steels</t>
  </si>
  <si>
    <t>ANAND CYCLE INDUSTRIES</t>
  </si>
  <si>
    <t>B.K.METAL INDUSTRIES</t>
  </si>
  <si>
    <t>DURGA INDUSTRIES</t>
  </si>
  <si>
    <t>LUCKY INDUSTRIAL CORPORATION</t>
  </si>
  <si>
    <t>HUNJAN ENTERPRISES</t>
  </si>
  <si>
    <t>RADHIKA INDUSTRIES</t>
  </si>
  <si>
    <t>ONKAR INDUSTRIES</t>
  </si>
  <si>
    <t>RAJ IMPEX</t>
  </si>
  <si>
    <t>T.K. STEEL ROLLING MILLS PVT LTD</t>
  </si>
  <si>
    <t>SHREE HARMILAP INDUSTRIES</t>
  </si>
  <si>
    <t>SUDHIN INDUSTRY</t>
  </si>
  <si>
    <t>Dugri Paint Store</t>
  </si>
  <si>
    <t>International Tractors Limited</t>
  </si>
  <si>
    <t>G J CONCAST</t>
  </si>
  <si>
    <t>Prepaid Expense</t>
  </si>
  <si>
    <t>Prepaid Insurance</t>
  </si>
  <si>
    <t>Telephone Exp Payable</t>
  </si>
  <si>
    <t>Balances with Revenue Authorities</t>
  </si>
  <si>
    <t>TDS Receivable</t>
  </si>
  <si>
    <t>TCS Receivable</t>
  </si>
  <si>
    <t xml:space="preserve">CIN: </t>
  </si>
  <si>
    <t>Trial Balance</t>
  </si>
  <si>
    <t>1-Apr-2023 to 31-Mar-2024</t>
  </si>
  <si>
    <t/>
  </si>
  <si>
    <t>P U N J A B</t>
  </si>
  <si>
    <t>E X P E C T E D</t>
  </si>
  <si>
    <t>T O T A L</t>
  </si>
  <si>
    <t>Debit</t>
  </si>
  <si>
    <t>Credit</t>
  </si>
  <si>
    <t>Capital Account</t>
  </si>
  <si>
    <t>Equity Share Capital</t>
  </si>
  <si>
    <t>Ashwani Kumar Singla</t>
  </si>
  <si>
    <t>Reserve &amp; Surplus</t>
  </si>
  <si>
    <t>Loans (Liability)</t>
  </si>
  <si>
    <t>Unsecured Loans</t>
  </si>
  <si>
    <t>Ankush Kumar Singla (Huf)</t>
  </si>
  <si>
    <t>Ashwani Kumar Huf</t>
  </si>
  <si>
    <t>Current Liabilities</t>
  </si>
  <si>
    <t>Duties and Taxes</t>
  </si>
  <si>
    <t>Sundry Creditors</t>
  </si>
  <si>
    <t>AMAR IRON STORE</t>
  </si>
  <si>
    <t>MOHINDER SINGH MANMOHAN SINGH</t>
  </si>
  <si>
    <t>SOOD STEELS</t>
  </si>
  <si>
    <t>ATAM CONCAST STEELS PVT.LTD.</t>
  </si>
  <si>
    <t>CHAWLA ISPAT</t>
  </si>
  <si>
    <t>COMMERCIAL STATIONERS</t>
  </si>
  <si>
    <t>HIND SCRAP AND SHEET TRADERS</t>
  </si>
  <si>
    <t>MENKA INDUSTRIES</t>
  </si>
  <si>
    <t>SRV Steels Pvt.Ltd.</t>
  </si>
  <si>
    <t>Expense Payable</t>
  </si>
  <si>
    <t>Wages Payable</t>
  </si>
  <si>
    <t>Audit Fee Payable</t>
  </si>
  <si>
    <t>Professional Fee Payable</t>
  </si>
  <si>
    <t>Rent Payable</t>
  </si>
  <si>
    <t>Credit Card</t>
  </si>
  <si>
    <t>Fixed Assets</t>
  </si>
  <si>
    <t>Furniture</t>
  </si>
  <si>
    <t>Computer</t>
  </si>
  <si>
    <t>Machine</t>
  </si>
  <si>
    <t>Vehicles</t>
  </si>
  <si>
    <t>Office Equipments</t>
  </si>
  <si>
    <t>Weighing Scale</t>
  </si>
  <si>
    <t>Deferred Tax Assets</t>
  </si>
  <si>
    <t>Gold</t>
  </si>
  <si>
    <t>Other Non-Current Assets</t>
  </si>
  <si>
    <t>Security Deposit - PSPCL</t>
  </si>
  <si>
    <t>Current Assets</t>
  </si>
  <si>
    <t>Opening Stock</t>
  </si>
  <si>
    <t>Sundry Debtors</t>
  </si>
  <si>
    <t>ANKUSH ENTERPRISES</t>
  </si>
  <si>
    <t>ASHIRVAD ENTERPRISES</t>
  </si>
  <si>
    <t>B.K AUTO INDUSTRIES</t>
  </si>
  <si>
    <t>B.S.MECHANICAL WORKS</t>
  </si>
  <si>
    <t>BRIJ CYCLE INDUSTRIES</t>
  </si>
  <si>
    <t>ESS ESS STEEL CASTINGS &amp; ROLLINGS MILLS PVT L</t>
  </si>
  <si>
    <t>G T B INDUSTRIES</t>
  </si>
  <si>
    <t>G.S. &amp; SONS</t>
  </si>
  <si>
    <t>GAHIR PRODUCT (INDIA)</t>
  </si>
  <si>
    <t>HAMCO POWER VENTURES PRIVATE LIMITED</t>
  </si>
  <si>
    <t>HI-TECH ENGINEERS</t>
  </si>
  <si>
    <t>ISHER UDYOG</t>
  </si>
  <si>
    <t>J.J.INDUSTRIES</t>
  </si>
  <si>
    <t>KUNAL STEEL CORPORATION</t>
  </si>
  <si>
    <t>MANKOO BROTHERS (REGD.)</t>
  </si>
  <si>
    <t>NEW SURINDRA INDUSTRIES</t>
  </si>
  <si>
    <t>PRAKASH CYCLE INDUSTRIES</t>
  </si>
  <si>
    <t>PRINCE ENTERPRISES</t>
  </si>
  <si>
    <t>R.K.INDUSTRIES</t>
  </si>
  <si>
    <t>ROCKEY INDUSTRIES</t>
  </si>
  <si>
    <t>RUBY CYCLE</t>
  </si>
  <si>
    <t>RUBY PRODUCTS</t>
  </si>
  <si>
    <t>SHRI BALAJI MULTIMETALS P LTD</t>
  </si>
  <si>
    <t>SHRI TRIVANI PURI STEE (STEEL ROLLING M)</t>
  </si>
  <si>
    <t>SUDHIR INTERNATIONAL</t>
  </si>
  <si>
    <t>Cash Balance</t>
  </si>
  <si>
    <t>Cash in Hand</t>
  </si>
  <si>
    <t>Bank Accounts</t>
  </si>
  <si>
    <t>ICICI Bank CA</t>
  </si>
  <si>
    <t>YES Bank CA</t>
  </si>
  <si>
    <t>ICICI Bank FDR</t>
  </si>
  <si>
    <t>Sales Accounts</t>
  </si>
  <si>
    <t>Sales</t>
  </si>
  <si>
    <t>Direct Expense</t>
  </si>
  <si>
    <t>Purchase</t>
  </si>
  <si>
    <t>Direct Expenses</t>
  </si>
  <si>
    <t>Woods Fuel</t>
  </si>
  <si>
    <t>Oil and Lubricants</t>
  </si>
  <si>
    <t>Packing Material</t>
  </si>
  <si>
    <t>Salary &amp; Wages</t>
  </si>
  <si>
    <t>Electricity Expense</t>
  </si>
  <si>
    <t>Indirect Incomes</t>
  </si>
  <si>
    <t>Interest on Savings</t>
  </si>
  <si>
    <t>Interest on FDR</t>
  </si>
  <si>
    <t>Interest on Income Tax Refund</t>
  </si>
  <si>
    <t>Interest on SGB</t>
  </si>
  <si>
    <t>Change in Forex Rates</t>
  </si>
  <si>
    <t>Expense Group</t>
  </si>
  <si>
    <t>Indirect Expenses</t>
  </si>
  <si>
    <t>Admn Expenses</t>
  </si>
  <si>
    <t>Accounting Charges</t>
  </si>
  <si>
    <t>Accouting Charges</t>
  </si>
  <si>
    <t>Audit Fee</t>
  </si>
  <si>
    <t>Business Promotion</t>
  </si>
  <si>
    <t>Conveyance</t>
  </si>
  <si>
    <t>Consumable Stores</t>
  </si>
  <si>
    <t>Credit Card Charges</t>
  </si>
  <si>
    <t>Fee &amp; Taxes</t>
  </si>
  <si>
    <t>Insurance Expenses</t>
  </si>
  <si>
    <t>Misc Exp</t>
  </si>
  <si>
    <t>Rounded Off</t>
  </si>
  <si>
    <t>Printing and Stationery</t>
  </si>
  <si>
    <t>Legal Expense</t>
  </si>
  <si>
    <t>Office Electricity</t>
  </si>
  <si>
    <t>Festival Expense</t>
  </si>
  <si>
    <t>Repairs &amp; Maintenance</t>
  </si>
  <si>
    <t>Taxes relating to earlier years</t>
  </si>
  <si>
    <t>Travelling Expense</t>
  </si>
  <si>
    <t>Personnel Expenses</t>
  </si>
  <si>
    <t>Salaries and wages</t>
  </si>
  <si>
    <t>Salary &amp; Bonus</t>
  </si>
  <si>
    <t>Bonus</t>
  </si>
  <si>
    <t>LTA Reimbursement (Staff)</t>
  </si>
  <si>
    <t>Leave Encashment</t>
  </si>
  <si>
    <t>Interest on CC A/c</t>
  </si>
  <si>
    <t>Interest on Term Loan</t>
  </si>
  <si>
    <t>Interest on Unsecured Loans</t>
  </si>
  <si>
    <t>Bank Charges - BC</t>
  </si>
  <si>
    <t>Profit and Loss Account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</si>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</sst>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409]d\-mmm\-yyyy"/>
    <numFmt numFmtId="165" formatCode="[$-F800]dddd\,\ mmmm\ dd\,\ yyyy"/>
    <numFmt numFmtId="166" formatCode="_(* #,##0.00_);_(* \(#,##0.00\);_(* &quot;-&quot;??_);_(@_)"/>
    <numFmt numFmtId="167" formatCode="#,##0.0_);\(#,##0.0\)"/>
    <numFmt numFmtId="168" formatCode="[&gt;9999999]##\,##\,##\,##0;[&gt;99999]##\,##\,##0;##,##0"/>
    <numFmt numFmtId="169" formatCode="_(* #,##0_);_(* \(#,##0\);_(* &quot;-&quot;??_);_(@_)"/>
    <numFmt numFmtId="170" formatCode="[&lt;-9999999]\(#\,##\,##\,##0\ \);[&lt;-99999]\(##\,##\,##0\);##,##0"/>
    <numFmt numFmtId="171" formatCode="[&lt;-9999999]\(##\,##\,##\,##0\);[&lt;-99999]\(##\,##\,##0\);##,##0"/>
    <numFmt numFmtId="172" formatCode="0_);\(0\)"/>
    <numFmt numFmtId="173" formatCode="00000"/>
    <numFmt numFmtId="174" formatCode="[&gt;9999999]##\,##\,##\,##0.00;[&gt;99999]##\,##\,##0.00;##,##0.00"/>
    <numFmt numFmtId="175" formatCode="&quot;&quot;0.00"/>
  </numFmts>
  <fonts count="37">
    <font>
      <sz val="10"/>
      <name val="Arial"/>
    </font>
    <font>
      <sz val="11"/>
      <color theme="1"/>
      <name val="Calibri"/>
      <family val="2"/>
      <scheme val="minor"/>
    </font>
    <font>
      <sz val="10"/>
      <color rgb="FF000000"/>
      <name val="Calibri"/>
      <family val="2"/>
      <scheme val="minor"/>
    </font>
    <font>
      <sz val="10"/>
      <color theme="1"/>
      <name val="Arial"/>
      <family val="2"/>
    </font>
    <font>
      <b/>
      <sz val="24"/>
      <color theme="1"/>
      <name val="Arial"/>
      <family val="2"/>
    </font>
    <font>
      <sz val="24"/>
      <color theme="1"/>
      <name val="Arial"/>
      <family val="2"/>
    </font>
    <font>
      <b/>
      <sz val="10"/>
      <color rgb="FFFF0000"/>
      <name val="Arial"/>
      <family val="2"/>
    </font>
    <font>
      <sz val="16"/>
      <color rgb="FFFF0000"/>
      <name val="Corsiva"/>
    </font>
    <font>
      <sz val="10"/>
      <color rgb="FF0000FF"/>
      <name val="Arial"/>
      <family val="2"/>
    </font>
    <font>
      <u/>
      <sz val="10"/>
      <color rgb="FF0066CC"/>
      <name val="Arial"/>
      <family val="2"/>
    </font>
    <font>
      <sz val="10"/>
      <color rgb="FF0066CC"/>
      <name val="Arial"/>
      <family val="2"/>
    </font>
    <font>
      <sz val="10"/>
      <name val="Arial"/>
      <family val="2"/>
    </font>
    <font>
      <b/>
      <sz val="14"/>
      <name val="Arial"/>
      <family val="2"/>
    </font>
    <font>
      <sz val="14"/>
      <name val="Arial"/>
      <family val="2"/>
    </font>
    <font>
      <sz val="11"/>
      <name val="Calibri"/>
      <family val="2"/>
    </font>
    <font>
      <u/>
      <sz val="28"/>
      <name val="Arial"/>
      <family val="2"/>
    </font>
    <font>
      <sz val="28"/>
      <name val="Arial"/>
      <family val="2"/>
    </font>
    <font>
      <b/>
      <sz val="12"/>
      <name val="Arial"/>
      <family val="2"/>
    </font>
    <font>
      <b/>
      <sz val="11"/>
      <name val="Arial"/>
      <family val="2"/>
    </font>
    <font>
      <b/>
      <sz val="10"/>
      <name val="Arial"/>
      <family val="2"/>
    </font>
    <font>
      <b/>
      <sz val="10"/>
      <color theme="0"/>
      <name val="Arial"/>
      <family val="2"/>
    </font>
    <font>
      <sz val="10"/>
      <color theme="0"/>
      <name val="Arial"/>
      <family val="2"/>
    </font>
    <font>
      <b/>
      <u/>
      <sz val="10"/>
      <name val="Arial"/>
      <family val="2"/>
    </font>
    <font>
      <u/>
      <sz val="10"/>
      <name val="Arial"/>
      <family val="2"/>
    </font>
    <font>
      <sz val="10"/>
      <color indexed="9"/>
      <name val="Arial"/>
      <family val="2"/>
    </font>
    <font>
      <i/>
      <sz val="10"/>
      <color theme="1"/>
      <name val="Arial"/>
      <family val="2"/>
    </font>
    <font>
      <i/>
      <sz val="10"/>
      <name val="Arial"/>
      <family val="2"/>
    </font>
    <font>
      <b/>
      <i/>
      <sz val="10"/>
      <name val="Arial"/>
      <family val="2"/>
    </font>
    <font>
      <b/>
      <sz val="12"/>
      <color theme="1"/>
      <name val="Arial"/>
      <family val="2"/>
    </font>
    <font>
      <b/>
      <sz val="9"/>
      <color theme="1"/>
      <name val="Arial"/>
      <family val="2"/>
    </font>
    <font>
      <b/>
      <sz val="9"/>
      <name val="Arial"/>
      <family val="2"/>
    </font>
    <font>
      <sz val="9"/>
      <name val="Arial"/>
      <family val="2"/>
    </font>
    <font>
      <sz val="9"/>
      <color theme="1"/>
      <name val="Arial"/>
      <family val="2"/>
    </font>
    <font>
      <i/>
      <sz val="9"/>
      <color theme="1"/>
      <name val="Arial"/>
      <family val="2"/>
    </font>
    <font>
      <i/>
      <sz val="9"/>
      <name val="Arial"/>
      <family val="2"/>
    </font>
    <font>
      <b/>
      <i/>
      <sz val="9"/>
      <name val="Arial"/>
      <family val="2"/>
    </font>
    <font>
      <b/>
      <u/>
      <sz val="9"/>
      <color theme="1"/>
      <name val="Arial"/>
      <family val="2"/>
    </font>
  </fonts>
  <fills count="7">
    <fill>
      <patternFill patternType="none"/>
    </fill>
    <fill>
      <patternFill patternType="gray125"/>
    </fill>
    <fill>
      <patternFill patternType="solid">
        <fgColor rgb="FFFFCC99"/>
        <bgColor rgb="FFFFCC99"/>
      </patternFill>
    </fill>
    <fill>
      <patternFill patternType="solid">
        <fgColor rgb="FFFFFF00"/>
        <bgColor rgb="FFFFFF00"/>
      </patternFill>
    </fill>
    <fill>
      <patternFill patternType="solid">
        <fgColor theme="0"/>
        <bgColor theme="0"/>
      </patternFill>
    </fill>
    <fill>
      <patternFill patternType="solid">
        <fgColor indexed="9"/>
        <bgColor indexed="64"/>
      </patternFill>
    </fill>
    <fill>
      <patternFill patternType="solid">
        <fgColor rgb="FFFFFF00"/>
        <bgColor indexed="64"/>
      </patternFill>
    </fill>
  </fills>
  <borders count="9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8"/>
      </right>
      <top style="medium">
        <color indexed="64"/>
      </top>
      <bottom style="thin">
        <color indexed="64"/>
      </bottom>
      <diagonal/>
    </border>
    <border>
      <left style="thin">
        <color indexed="8"/>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thin">
        <color indexed="64"/>
      </bottom>
      <diagonal/>
    </border>
    <border>
      <left style="thin">
        <color indexed="8"/>
      </left>
      <right style="thin">
        <color indexed="64"/>
      </right>
      <top style="medium">
        <color indexed="64"/>
      </top>
      <bottom style="thin">
        <color indexed="64"/>
      </bottom>
      <diagonal/>
    </border>
    <border>
      <left style="thin">
        <color indexed="8"/>
      </left>
      <right style="medium">
        <color indexed="64"/>
      </right>
      <top style="medium">
        <color indexed="64"/>
      </top>
      <bottom style="thin">
        <color indexed="64"/>
      </bottom>
      <diagonal/>
    </border>
    <border>
      <left style="medium">
        <color indexed="64"/>
      </left>
      <right style="thin">
        <color indexed="8"/>
      </right>
      <top/>
      <bottom/>
      <diagonal/>
    </border>
    <border>
      <left style="thin">
        <color indexed="8"/>
      </left>
      <right/>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8"/>
      </left>
      <right style="thin">
        <color indexed="8"/>
      </right>
      <top style="thin">
        <color indexed="64"/>
      </top>
      <bottom style="double">
        <color indexed="64"/>
      </bottom>
      <diagonal/>
    </border>
    <border>
      <left style="thin">
        <color indexed="8"/>
      </left>
      <right style="medium">
        <color indexed="64"/>
      </right>
      <top style="thin">
        <color indexed="64"/>
      </top>
      <bottom style="double">
        <color indexed="64"/>
      </bottom>
      <diagonal/>
    </border>
    <border>
      <left style="thin">
        <color indexed="8"/>
      </left>
      <right style="thin">
        <color indexed="8"/>
      </right>
      <top/>
      <bottom style="double">
        <color indexed="64"/>
      </bottom>
      <diagonal/>
    </border>
    <border>
      <left style="thin">
        <color indexed="8"/>
      </left>
      <right style="medium">
        <color indexed="64"/>
      </right>
      <top/>
      <bottom style="double">
        <color indexed="64"/>
      </bottom>
      <diagonal/>
    </border>
    <border>
      <left style="medium">
        <color indexed="64"/>
      </left>
      <right style="thin">
        <color indexed="8"/>
      </right>
      <top/>
      <bottom style="thin">
        <color indexed="64"/>
      </bottom>
      <diagonal/>
    </border>
    <border>
      <left style="thin">
        <color indexed="8"/>
      </left>
      <right/>
      <top/>
      <bottom style="thin">
        <color indexed="64"/>
      </bottom>
      <diagonal/>
    </border>
    <border>
      <left/>
      <right style="thin">
        <color indexed="64"/>
      </right>
      <top/>
      <bottom/>
      <diagonal/>
    </border>
    <border>
      <left style="medium">
        <color indexed="64"/>
      </left>
      <right style="thin">
        <color indexed="8"/>
      </right>
      <top style="medium">
        <color indexed="64"/>
      </top>
      <bottom/>
      <diagonal/>
    </border>
    <border>
      <left style="thin">
        <color indexed="8"/>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8"/>
      </bottom>
      <diagonal/>
    </border>
    <border>
      <left style="thin">
        <color indexed="64"/>
      </left>
      <right style="medium">
        <color indexed="64"/>
      </right>
      <top style="medium">
        <color indexed="64"/>
      </top>
      <bottom style="thin">
        <color indexed="8"/>
      </bottom>
      <diagonal/>
    </border>
    <border>
      <left style="medium">
        <color indexed="64"/>
      </left>
      <right style="thin">
        <color indexed="8"/>
      </right>
      <top style="thin">
        <color indexed="8"/>
      </top>
      <bottom/>
      <diagonal/>
    </border>
    <border>
      <left style="thin">
        <color indexed="8"/>
      </left>
      <right/>
      <top style="thin">
        <color indexed="8"/>
      </top>
      <bottom/>
      <diagonal/>
    </border>
    <border>
      <left style="thin">
        <color indexed="64"/>
      </left>
      <right style="thin">
        <color indexed="64"/>
      </right>
      <top style="thin">
        <color indexed="8"/>
      </top>
      <bottom/>
      <diagonal/>
    </border>
    <border>
      <left style="thin">
        <color indexed="64"/>
      </left>
      <right style="medium">
        <color indexed="64"/>
      </right>
      <top style="thin">
        <color indexed="8"/>
      </top>
      <bottom/>
      <diagonal/>
    </border>
    <border>
      <left style="thin">
        <color indexed="64"/>
      </left>
      <right style="thin">
        <color indexed="64"/>
      </right>
      <top style="thin">
        <color indexed="8"/>
      </top>
      <bottom style="double">
        <color indexed="64"/>
      </bottom>
      <diagonal/>
    </border>
    <border>
      <left style="thin">
        <color indexed="64"/>
      </left>
      <right style="medium">
        <color indexed="64"/>
      </right>
      <top style="thin">
        <color indexed="8"/>
      </top>
      <bottom style="double">
        <color indexed="64"/>
      </bottom>
      <diagonal/>
    </border>
    <border>
      <left style="medium">
        <color indexed="64"/>
      </left>
      <right style="thin">
        <color indexed="64"/>
      </right>
      <top style="thin">
        <color indexed="64"/>
      </top>
      <bottom style="thin">
        <color indexed="64"/>
      </bottom>
      <diagonal/>
    </border>
    <border>
      <left/>
      <right/>
      <top style="double">
        <color indexed="64"/>
      </top>
      <bottom/>
      <diagonal/>
    </border>
    <border>
      <left/>
      <right style="medium">
        <color indexed="64"/>
      </right>
      <top style="double">
        <color indexed="64"/>
      </top>
      <bottom/>
      <diagonal/>
    </border>
    <border>
      <left/>
      <right style="thin">
        <color indexed="64"/>
      </right>
      <top style="thin">
        <color indexed="64"/>
      </top>
      <bottom style="thin">
        <color indexed="64"/>
      </bottom>
      <diagonal/>
    </border>
    <border>
      <left style="thin">
        <color indexed="64"/>
      </left>
      <right style="thin">
        <color indexed="8"/>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8"/>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8"/>
      </right>
      <top style="thin">
        <color indexed="64"/>
      </top>
      <bottom style="double">
        <color indexed="64"/>
      </bottom>
      <diagonal/>
    </border>
    <border>
      <left/>
      <right style="thin">
        <color indexed="8"/>
      </right>
      <top style="thin">
        <color indexed="64"/>
      </top>
      <bottom style="double">
        <color indexed="64"/>
      </bottom>
      <diagonal/>
    </border>
    <border>
      <left style="thin">
        <color indexed="64"/>
      </left>
      <right style="thin">
        <color indexed="8"/>
      </right>
      <top style="thin">
        <color indexed="64"/>
      </top>
      <bottom style="double">
        <color indexed="8"/>
      </bottom>
      <diagonal/>
    </border>
    <border>
      <left style="thin">
        <color indexed="64"/>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indexed="8"/>
      </right>
      <top/>
      <bottom/>
      <diagonal/>
    </border>
    <border>
      <left style="thin">
        <color indexed="8"/>
      </left>
      <right style="thin">
        <color indexed="64"/>
      </right>
      <top/>
      <bottom/>
      <diagonal/>
    </border>
    <border>
      <left style="thin">
        <color indexed="64"/>
      </left>
      <right style="thin">
        <color indexed="8"/>
      </right>
      <top style="thin">
        <color indexed="8"/>
      </top>
      <bottom style="double">
        <color indexed="64"/>
      </bottom>
      <diagonal/>
    </border>
    <border>
      <left style="thin">
        <color indexed="8"/>
      </left>
      <right style="thin">
        <color indexed="64"/>
      </right>
      <top style="thin">
        <color indexed="8"/>
      </top>
      <bottom style="double">
        <color indexed="64"/>
      </bottom>
      <diagonal/>
    </border>
    <border>
      <left style="thin">
        <color indexed="8"/>
      </left>
      <right style="thin">
        <color indexed="64"/>
      </right>
      <top/>
      <bottom style="double">
        <color indexed="8"/>
      </bottom>
      <diagonal/>
    </border>
    <border>
      <left style="thin">
        <color indexed="8"/>
      </left>
      <right style="thin">
        <color indexed="64"/>
      </right>
      <top style="thin">
        <color indexed="8"/>
      </top>
      <bottom style="double">
        <color indexed="8"/>
      </bottom>
      <diagonal/>
    </border>
    <border>
      <left style="thin">
        <color indexed="64"/>
      </left>
      <right style="thin">
        <color indexed="8"/>
      </right>
      <top style="thin">
        <color indexed="8"/>
      </top>
      <bottom style="double">
        <color indexed="8"/>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thin">
        <color indexed="64"/>
      </right>
      <top style="double">
        <color indexed="64"/>
      </top>
      <bottom/>
      <diagonal/>
    </border>
    <border>
      <left style="thin">
        <color indexed="8"/>
      </left>
      <right style="thin">
        <color indexed="8"/>
      </right>
      <top style="thin">
        <color indexed="64"/>
      </top>
      <bottom style="double">
        <color indexed="8"/>
      </bottom>
      <diagonal/>
    </border>
    <border>
      <left/>
      <right style="thin">
        <color indexed="8"/>
      </right>
      <top/>
      <bottom/>
      <diagonal/>
    </border>
    <border>
      <left style="thin">
        <color indexed="8"/>
      </left>
      <right style="thin">
        <color indexed="8"/>
      </right>
      <top/>
      <bottom/>
      <diagonal/>
    </border>
    <border>
      <left style="thin">
        <color indexed="64"/>
      </left>
      <right style="thin">
        <color indexed="8"/>
      </right>
      <top/>
      <bottom style="thin">
        <color indexed="64"/>
      </bottom>
      <diagonal/>
    </border>
    <border>
      <left style="thin">
        <color indexed="8"/>
      </left>
      <right style="thin">
        <color indexed="64"/>
      </right>
      <top/>
      <bottom style="thin">
        <color indexed="64"/>
      </bottom>
      <diagonal/>
    </border>
    <border>
      <left style="thin">
        <color indexed="64"/>
      </left>
      <right style="thin">
        <color indexed="8"/>
      </right>
      <top/>
      <bottom style="double">
        <color indexed="8"/>
      </bottom>
      <diagonal/>
    </border>
    <border>
      <left/>
      <right style="thin">
        <color indexed="8"/>
      </right>
      <top/>
      <bottom style="double">
        <color indexed="8"/>
      </bottom>
      <diagonal/>
    </border>
    <border>
      <left style="thin">
        <color indexed="8"/>
      </left>
      <right style="thin">
        <color indexed="8"/>
      </right>
      <top/>
      <bottom style="double">
        <color indexed="8"/>
      </bottom>
      <diagonal/>
    </border>
    <border>
      <left/>
      <right style="thin">
        <color indexed="64"/>
      </right>
      <top style="thin">
        <color indexed="64"/>
      </top>
      <bottom style="double">
        <color indexed="8"/>
      </bottom>
      <diagonal/>
    </border>
    <border>
      <left style="thin">
        <color indexed="64"/>
      </left>
      <right/>
      <top style="thin">
        <color indexed="64"/>
      </top>
      <bottom style="double">
        <color indexed="8"/>
      </bottom>
      <diagonal/>
    </border>
    <border>
      <left style="thin">
        <color indexed="64"/>
      </left>
      <right style="thin">
        <color indexed="64"/>
      </right>
      <top style="thin">
        <color indexed="64"/>
      </top>
      <bottom style="double">
        <color indexed="8"/>
      </bottom>
      <diagonal/>
    </border>
    <border>
      <left style="thin">
        <color indexed="64"/>
      </left>
      <right style="thin">
        <color indexed="64"/>
      </right>
      <top style="thin">
        <color indexed="8"/>
      </top>
      <bottom style="thin">
        <color indexed="64"/>
      </bottom>
      <diagonal/>
    </border>
  </borders>
  <cellStyleXfs count="6">
    <xf numFmtId="0" fontId="0" fillId="0" borderId="0"/>
    <xf numFmtId="166" fontId="11" fillId="0" borderId="0" applyFont="0" applyFill="0" applyBorder="0" applyAlignment="0" applyProtection="0"/>
    <xf numFmtId="9" fontId="11" fillId="0" borderId="0" applyFont="0" applyFill="0" applyBorder="0" applyAlignment="0" applyProtection="0"/>
    <xf numFmtId="0" fontId="2" fillId="0" borderId="0"/>
    <xf numFmtId="166" fontId="11" fillId="0" borderId="0" applyFont="0" applyFill="0" applyBorder="0" applyAlignment="0" applyProtection="0"/>
    <xf numFmtId="0" fontId="1" fillId="0" borderId="0"/>
  </cellStyleXfs>
  <cellXfs count="604">
    <xf numFmtId="0" fontId="0" fillId="0" borderId="0" xfId="0"/>
    <xf numFmtId="0" fontId="3" fillId="2" borderId="0" xfId="3" applyFont="1" applyFill="1"/>
    <xf numFmtId="0" fontId="2" fillId="0" borderId="0" xfId="3"/>
    <xf numFmtId="0" fontId="4" fillId="2" borderId="0" xfId="3" applyFont="1" applyFill="1" applyAlignment="1">
      <alignment horizontal="left"/>
    </xf>
    <xf numFmtId="0" fontId="5" fillId="2" borderId="0" xfId="3" applyFont="1" applyFill="1" applyAlignment="1">
      <alignment horizontal="left"/>
    </xf>
    <xf numFmtId="0" fontId="3" fillId="2" borderId="0" xfId="3" applyFont="1" applyFill="1" applyAlignment="1">
      <alignment horizontal="left"/>
    </xf>
    <xf numFmtId="0" fontId="3" fillId="2" borderId="1" xfId="3" applyFont="1" applyFill="1" applyBorder="1"/>
    <xf numFmtId="0" fontId="3" fillId="2" borderId="1" xfId="3" applyFont="1" applyFill="1" applyBorder="1" applyAlignment="1">
      <alignment horizontal="left"/>
    </xf>
    <xf numFmtId="0" fontId="6" fillId="2" borderId="0" xfId="3" applyFont="1" applyFill="1"/>
    <xf numFmtId="164" fontId="3" fillId="2" borderId="1" xfId="3" applyNumberFormat="1" applyFont="1" applyFill="1" applyBorder="1" applyAlignment="1">
      <alignment horizontal="left"/>
    </xf>
    <xf numFmtId="164" fontId="3" fillId="2" borderId="0" xfId="3" applyNumberFormat="1" applyFont="1" applyFill="1" applyAlignment="1">
      <alignment horizontal="left"/>
    </xf>
    <xf numFmtId="20" fontId="3" fillId="2" borderId="1" xfId="3" applyNumberFormat="1" applyFont="1" applyFill="1" applyBorder="1"/>
    <xf numFmtId="20" fontId="3" fillId="3" borderId="1" xfId="3" applyNumberFormat="1" applyFont="1" applyFill="1" applyBorder="1"/>
    <xf numFmtId="0" fontId="7" fillId="2" borderId="1" xfId="3" applyFont="1" applyFill="1" applyBorder="1"/>
    <xf numFmtId="0" fontId="8" fillId="2" borderId="2" xfId="3" applyFont="1" applyFill="1" applyBorder="1"/>
    <xf numFmtId="0" fontId="9" fillId="2" borderId="2" xfId="3" applyFont="1" applyFill="1" applyBorder="1"/>
    <xf numFmtId="0" fontId="9" fillId="2" borderId="0" xfId="3" applyFont="1" applyFill="1"/>
    <xf numFmtId="0" fontId="10" fillId="2" borderId="2" xfId="3" applyFont="1" applyFill="1" applyBorder="1"/>
    <xf numFmtId="0" fontId="8" fillId="2" borderId="3" xfId="3" applyFont="1" applyFill="1" applyBorder="1"/>
    <xf numFmtId="0" fontId="4" fillId="2" borderId="0" xfId="3" applyFont="1" applyFill="1" applyAlignment="1">
      <alignment horizontal="left"/>
    </xf>
    <xf numFmtId="0" fontId="11" fillId="0" borderId="0" xfId="3" applyFont="1"/>
    <xf numFmtId="0" fontId="3" fillId="4" borderId="1" xfId="3" applyFont="1" applyFill="1" applyBorder="1"/>
    <xf numFmtId="0" fontId="3" fillId="4" borderId="1" xfId="3" applyFont="1" applyFill="1" applyBorder="1" applyAlignment="1">
      <alignment horizontal="left"/>
    </xf>
    <xf numFmtId="164" fontId="3" fillId="4" borderId="1" xfId="3" applyNumberFormat="1" applyFont="1" applyFill="1" applyBorder="1" applyAlignment="1">
      <alignment horizontal="left"/>
    </xf>
    <xf numFmtId="0" fontId="0" fillId="0" borderId="4" xfId="0" applyBorder="1" applyAlignment="1">
      <alignment shrinkToFit="1"/>
    </xf>
    <xf numFmtId="0" fontId="0" fillId="0" borderId="5" xfId="0" applyBorder="1" applyAlignment="1">
      <alignment shrinkToFit="1"/>
    </xf>
    <xf numFmtId="0" fontId="0" fillId="0" borderId="5" xfId="0" applyBorder="1" applyAlignment="1">
      <alignment horizontal="center" shrinkToFit="1"/>
    </xf>
    <xf numFmtId="0" fontId="0" fillId="0" borderId="6" xfId="0" applyBorder="1" applyAlignment="1">
      <alignment horizontal="center" shrinkToFit="1"/>
    </xf>
    <xf numFmtId="0" fontId="12" fillId="5" borderId="7" xfId="0" applyFont="1" applyFill="1" applyBorder="1" applyAlignment="1">
      <alignment horizontal="left" shrinkToFit="1"/>
    </xf>
    <xf numFmtId="0" fontId="12" fillId="5" borderId="0" xfId="0" applyFont="1" applyFill="1" applyAlignment="1">
      <alignment horizontal="left" shrinkToFit="1"/>
    </xf>
    <xf numFmtId="0" fontId="13" fillId="0" borderId="0" xfId="0" applyFont="1" applyAlignment="1">
      <alignment shrinkToFit="1"/>
    </xf>
    <xf numFmtId="0" fontId="12" fillId="0" borderId="0" xfId="0" applyFont="1" applyAlignment="1">
      <alignment horizontal="right" shrinkToFit="1"/>
    </xf>
    <xf numFmtId="0" fontId="12" fillId="0" borderId="8" xfId="0" applyFont="1" applyBorder="1" applyAlignment="1">
      <alignment horizontal="right" shrinkToFit="1"/>
    </xf>
    <xf numFmtId="0" fontId="13" fillId="0" borderId="7" xfId="0" applyFont="1" applyBorder="1" applyAlignment="1">
      <alignment shrinkToFit="1"/>
    </xf>
    <xf numFmtId="0" fontId="13" fillId="0" borderId="0" xfId="0" applyFont="1" applyAlignment="1">
      <alignment horizontal="center" shrinkToFit="1"/>
    </xf>
    <xf numFmtId="0" fontId="13" fillId="0" borderId="8" xfId="0" applyFont="1" applyBorder="1" applyAlignment="1">
      <alignment horizontal="center" shrinkToFit="1"/>
    </xf>
    <xf numFmtId="0" fontId="14" fillId="0" borderId="5" xfId="0" applyFont="1" applyBorder="1" applyAlignment="1">
      <alignment shrinkToFit="1"/>
    </xf>
    <xf numFmtId="0" fontId="0" fillId="0" borderId="6" xfId="0" applyBorder="1" applyAlignment="1">
      <alignment shrinkToFit="1"/>
    </xf>
    <xf numFmtId="0" fontId="0" fillId="0" borderId="7" xfId="0" applyBorder="1" applyAlignment="1">
      <alignment shrinkToFit="1"/>
    </xf>
    <xf numFmtId="0" fontId="0" fillId="0" borderId="0" xfId="0" applyAlignment="1">
      <alignment shrinkToFit="1"/>
    </xf>
    <xf numFmtId="0" fontId="0" fillId="0" borderId="8" xfId="0" applyBorder="1" applyAlignment="1">
      <alignment shrinkToFit="1"/>
    </xf>
    <xf numFmtId="0" fontId="15" fillId="0" borderId="7" xfId="0" applyFont="1" applyBorder="1" applyAlignment="1">
      <alignment horizontal="center" shrinkToFit="1"/>
    </xf>
    <xf numFmtId="0" fontId="15" fillId="0" borderId="0" xfId="0" applyFont="1" applyAlignment="1">
      <alignment horizontal="center" shrinkToFit="1"/>
    </xf>
    <xf numFmtId="0" fontId="15" fillId="0" borderId="8" xfId="0" applyFont="1" applyBorder="1" applyAlignment="1">
      <alignment horizontal="center" shrinkToFit="1"/>
    </xf>
    <xf numFmtId="0" fontId="16" fillId="0" borderId="7" xfId="0" applyFont="1" applyBorder="1" applyAlignment="1">
      <alignment horizontal="center" vertical="top" shrinkToFit="1"/>
    </xf>
    <xf numFmtId="0" fontId="16" fillId="0" borderId="0" xfId="0" applyFont="1" applyAlignment="1">
      <alignment horizontal="center" vertical="top" shrinkToFit="1"/>
    </xf>
    <xf numFmtId="0" fontId="16" fillId="0" borderId="8" xfId="0" applyFont="1" applyBorder="1" applyAlignment="1">
      <alignment horizontal="center" vertical="top" shrinkToFit="1"/>
    </xf>
    <xf numFmtId="0" fontId="13" fillId="0" borderId="7" xfId="0" applyFont="1" applyBorder="1" applyAlignment="1">
      <alignment horizontal="right"/>
    </xf>
    <xf numFmtId="0" fontId="13" fillId="0" borderId="0" xfId="0" applyFont="1" applyAlignment="1">
      <alignment horizontal="left"/>
    </xf>
    <xf numFmtId="0" fontId="13" fillId="0" borderId="8" xfId="0" applyFont="1" applyBorder="1" applyAlignment="1">
      <alignment horizontal="left"/>
    </xf>
    <xf numFmtId="165" fontId="13" fillId="0" borderId="0" xfId="0" applyNumberFormat="1" applyFont="1" applyAlignment="1">
      <alignment horizontal="left"/>
    </xf>
    <xf numFmtId="165" fontId="13" fillId="0" borderId="8" xfId="0" applyNumberFormat="1" applyFont="1" applyBorder="1" applyAlignment="1">
      <alignment horizontal="left"/>
    </xf>
    <xf numFmtId="0" fontId="0" fillId="0" borderId="8" xfId="0" applyBorder="1"/>
    <xf numFmtId="0" fontId="13" fillId="0" borderId="7" xfId="0" applyFont="1" applyBorder="1" applyAlignment="1">
      <alignment horizontal="left" shrinkToFit="1"/>
    </xf>
    <xf numFmtId="0" fontId="13" fillId="0" borderId="0" xfId="0" applyFont="1" applyAlignment="1">
      <alignment horizontal="left" shrinkToFit="1"/>
    </xf>
    <xf numFmtId="0" fontId="13" fillId="0" borderId="8" xfId="0" applyFont="1" applyBorder="1" applyAlignment="1">
      <alignment horizontal="left" shrinkToFit="1"/>
    </xf>
    <xf numFmtId="0" fontId="13" fillId="0" borderId="7" xfId="0" applyFont="1" applyBorder="1" applyAlignment="1">
      <alignment horizontal="right" shrinkToFit="1"/>
    </xf>
    <xf numFmtId="0" fontId="13" fillId="0" borderId="0" xfId="0" applyFont="1" applyAlignment="1">
      <alignment horizontal="right" shrinkToFit="1"/>
    </xf>
    <xf numFmtId="0" fontId="13" fillId="0" borderId="8" xfId="0" applyFont="1" applyBorder="1" applyAlignment="1">
      <alignment horizontal="right" shrinkToFit="1"/>
    </xf>
    <xf numFmtId="0" fontId="13" fillId="0" borderId="9" xfId="0" applyFont="1" applyBorder="1" applyAlignment="1">
      <alignment horizontal="left" shrinkToFit="1"/>
    </xf>
    <xf numFmtId="0" fontId="13" fillId="0" borderId="10" xfId="0" applyFont="1" applyBorder="1" applyAlignment="1">
      <alignment horizontal="left" shrinkToFit="1"/>
    </xf>
    <xf numFmtId="0" fontId="13" fillId="0" borderId="11" xfId="0" applyFont="1" applyBorder="1" applyAlignment="1">
      <alignment horizontal="left" shrinkToFit="1"/>
    </xf>
    <xf numFmtId="0" fontId="17" fillId="0" borderId="0" xfId="0" applyFont="1" applyAlignment="1">
      <alignment horizontal="center"/>
    </xf>
    <xf numFmtId="0" fontId="17" fillId="0" borderId="0" xfId="0" applyFont="1"/>
    <xf numFmtId="0" fontId="11" fillId="0" borderId="0" xfId="0" applyFont="1"/>
    <xf numFmtId="0" fontId="11" fillId="0" borderId="0" xfId="0" applyFont="1" applyAlignment="1">
      <alignment horizontal="center"/>
    </xf>
    <xf numFmtId="0" fontId="18" fillId="0" borderId="0" xfId="0" applyFont="1" applyAlignment="1">
      <alignment horizontal="center"/>
    </xf>
    <xf numFmtId="0" fontId="19" fillId="0" borderId="0" xfId="0" applyFont="1"/>
    <xf numFmtId="0" fontId="19" fillId="0" borderId="0" xfId="0" applyFont="1" applyAlignment="1">
      <alignment horizontal="center"/>
    </xf>
    <xf numFmtId="0" fontId="19" fillId="0" borderId="0" xfId="0" applyFont="1" applyAlignment="1">
      <alignment horizontal="right"/>
    </xf>
    <xf numFmtId="0" fontId="19" fillId="0" borderId="12" xfId="0" applyFont="1" applyBorder="1" applyAlignment="1">
      <alignment horizontal="center" vertical="center"/>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0" xfId="0" applyFont="1" applyAlignment="1">
      <alignment horizontal="center" vertical="center" wrapText="1"/>
    </xf>
    <xf numFmtId="0" fontId="11" fillId="0" borderId="19" xfId="0" applyFont="1" applyBorder="1"/>
    <xf numFmtId="0" fontId="11" fillId="0" borderId="20" xfId="0" applyFont="1" applyBorder="1" applyAlignment="1">
      <alignment horizontal="center"/>
    </xf>
    <xf numFmtId="0" fontId="11" fillId="0" borderId="21" xfId="0" applyFont="1" applyBorder="1" applyAlignment="1">
      <alignment horizontal="center"/>
    </xf>
    <xf numFmtId="0" fontId="11" fillId="0" borderId="22" xfId="0" applyFont="1" applyBorder="1" applyAlignment="1">
      <alignment horizontal="center"/>
    </xf>
    <xf numFmtId="0" fontId="11" fillId="0" borderId="0" xfId="0" applyFont="1" applyAlignment="1">
      <alignment horizontal="center"/>
    </xf>
    <xf numFmtId="0" fontId="11" fillId="0" borderId="23" xfId="0" applyFont="1" applyBorder="1"/>
    <xf numFmtId="0" fontId="11" fillId="0" borderId="24" xfId="0" applyFont="1" applyBorder="1"/>
    <xf numFmtId="0" fontId="19" fillId="0" borderId="19" xfId="0" applyFont="1" applyBorder="1" applyAlignment="1">
      <alignment wrapText="1"/>
    </xf>
    <xf numFmtId="0" fontId="11" fillId="0" borderId="25" xfId="0" applyFont="1" applyBorder="1"/>
    <xf numFmtId="0" fontId="11" fillId="0" borderId="22" xfId="0" applyFont="1" applyBorder="1"/>
    <xf numFmtId="0" fontId="19" fillId="0" borderId="19" xfId="0" applyFont="1" applyBorder="1"/>
    <xf numFmtId="37" fontId="11" fillId="0" borderId="20" xfId="0" applyNumberFormat="1" applyFont="1" applyBorder="1" applyAlignment="1">
      <alignment horizontal="center"/>
    </xf>
    <xf numFmtId="37" fontId="11" fillId="0" borderId="21" xfId="0" applyNumberFormat="1" applyFont="1" applyBorder="1" applyAlignment="1">
      <alignment horizontal="center"/>
    </xf>
    <xf numFmtId="37" fontId="11" fillId="0" borderId="22" xfId="0" applyNumberFormat="1" applyFont="1" applyBorder="1" applyAlignment="1">
      <alignment horizontal="center"/>
    </xf>
    <xf numFmtId="37" fontId="11" fillId="0" borderId="0" xfId="0" applyNumberFormat="1" applyFont="1" applyAlignment="1">
      <alignment horizontal="center"/>
    </xf>
    <xf numFmtId="37" fontId="11" fillId="0" borderId="25" xfId="0" applyNumberFormat="1" applyFont="1" applyBorder="1"/>
    <xf numFmtId="37" fontId="11" fillId="0" borderId="22" xfId="0" applyNumberFormat="1" applyFont="1" applyBorder="1"/>
    <xf numFmtId="166" fontId="11" fillId="0" borderId="21" xfId="1" applyFont="1" applyFill="1" applyBorder="1" applyAlignment="1">
      <alignment horizontal="right"/>
    </xf>
    <xf numFmtId="166" fontId="11" fillId="0" borderId="22" xfId="1" applyFont="1" applyFill="1" applyBorder="1" applyAlignment="1">
      <alignment horizontal="right"/>
    </xf>
    <xf numFmtId="166" fontId="11" fillId="0" borderId="0" xfId="1" applyFont="1" applyFill="1" applyBorder="1" applyAlignment="1">
      <alignment horizontal="right"/>
    </xf>
    <xf numFmtId="166" fontId="11" fillId="0" borderId="25" xfId="1" applyFont="1" applyFill="1" applyBorder="1"/>
    <xf numFmtId="166" fontId="11" fillId="0" borderId="22" xfId="1" applyFont="1" applyFill="1" applyBorder="1"/>
    <xf numFmtId="166" fontId="11" fillId="0" borderId="0" xfId="1" applyFont="1"/>
    <xf numFmtId="43" fontId="11" fillId="0" borderId="0" xfId="0" applyNumberFormat="1" applyFont="1"/>
    <xf numFmtId="166" fontId="19" fillId="0" borderId="21" xfId="1" applyFont="1" applyFill="1" applyBorder="1"/>
    <xf numFmtId="166" fontId="19" fillId="0" borderId="22" xfId="1" applyFont="1" applyFill="1" applyBorder="1"/>
    <xf numFmtId="166" fontId="19" fillId="0" borderId="0" xfId="1" applyFont="1" applyFill="1" applyBorder="1" applyAlignment="1">
      <alignment horizontal="right"/>
    </xf>
    <xf numFmtId="166" fontId="19" fillId="0" borderId="25" xfId="1" applyFont="1" applyFill="1" applyBorder="1"/>
    <xf numFmtId="166" fontId="19" fillId="0" borderId="26" xfId="1" applyFont="1" applyFill="1" applyBorder="1"/>
    <xf numFmtId="166" fontId="19" fillId="0" borderId="27" xfId="1" applyFont="1" applyFill="1" applyBorder="1"/>
    <xf numFmtId="166" fontId="19" fillId="0" borderId="28" xfId="1" applyFont="1" applyFill="1" applyBorder="1" applyAlignment="1">
      <alignment horizontal="right"/>
    </xf>
    <xf numFmtId="166" fontId="19" fillId="0" borderId="29" xfId="1" applyFont="1" applyFill="1" applyBorder="1"/>
    <xf numFmtId="166" fontId="11" fillId="0" borderId="21" xfId="1" applyFont="1" applyFill="1" applyBorder="1" applyAlignment="1">
      <alignment horizontal="center"/>
    </xf>
    <xf numFmtId="166" fontId="11" fillId="0" borderId="22" xfId="1" applyFont="1" applyFill="1" applyBorder="1" applyAlignment="1">
      <alignment horizontal="center"/>
    </xf>
    <xf numFmtId="0" fontId="19" fillId="6" borderId="0" xfId="0" applyFont="1" applyFill="1"/>
    <xf numFmtId="166" fontId="11" fillId="0" borderId="30" xfId="1" applyFont="1" applyFill="1" applyBorder="1"/>
    <xf numFmtId="166" fontId="11" fillId="0" borderId="31" xfId="1" applyFont="1" applyFill="1" applyBorder="1"/>
    <xf numFmtId="0" fontId="19" fillId="0" borderId="19" xfId="0" applyFont="1" applyBorder="1" applyAlignment="1">
      <alignment horizontal="center"/>
    </xf>
    <xf numFmtId="166" fontId="19" fillId="0" borderId="32" xfId="1" applyFont="1" applyFill="1" applyBorder="1"/>
    <xf numFmtId="166" fontId="19" fillId="0" borderId="33" xfId="1" applyFont="1" applyFill="1" applyBorder="1"/>
    <xf numFmtId="166" fontId="19" fillId="0" borderId="34" xfId="1" applyFont="1" applyFill="1" applyBorder="1"/>
    <xf numFmtId="166" fontId="19" fillId="0" borderId="35" xfId="1" applyFont="1" applyFill="1" applyBorder="1"/>
    <xf numFmtId="166" fontId="19" fillId="0" borderId="0" xfId="1" applyFont="1"/>
    <xf numFmtId="166" fontId="11" fillId="0" borderId="0" xfId="1" applyFont="1" applyFill="1" applyBorder="1" applyAlignment="1">
      <alignment horizontal="center"/>
    </xf>
    <xf numFmtId="0" fontId="11" fillId="0" borderId="19" xfId="0" applyFont="1" applyBorder="1" applyAlignment="1">
      <alignment wrapText="1"/>
    </xf>
    <xf numFmtId="166" fontId="19" fillId="0" borderId="0" xfId="1" applyFont="1" applyFill="1"/>
    <xf numFmtId="43" fontId="19" fillId="0" borderId="0" xfId="0" applyNumberFormat="1" applyFont="1"/>
    <xf numFmtId="0" fontId="19" fillId="0" borderId="36" xfId="0" applyFont="1" applyBorder="1" applyAlignment="1">
      <alignment horizontal="center"/>
    </xf>
    <xf numFmtId="37" fontId="11" fillId="0" borderId="37" xfId="0" applyNumberFormat="1" applyFont="1" applyBorder="1"/>
    <xf numFmtId="166" fontId="19" fillId="0" borderId="0" xfId="1" applyFont="1" applyFill="1" applyBorder="1"/>
    <xf numFmtId="0" fontId="19" fillId="0" borderId="7" xfId="0" applyFont="1" applyBorder="1"/>
    <xf numFmtId="167" fontId="11" fillId="0" borderId="0" xfId="0" applyNumberFormat="1" applyFont="1" applyAlignment="1">
      <alignment horizontal="center"/>
    </xf>
    <xf numFmtId="167" fontId="11" fillId="0" borderId="8" xfId="0" applyNumberFormat="1" applyFont="1" applyBorder="1" applyAlignment="1">
      <alignment horizontal="center"/>
    </xf>
    <xf numFmtId="168" fontId="19" fillId="0" borderId="8" xfId="0" applyNumberFormat="1" applyFont="1" applyBorder="1"/>
    <xf numFmtId="169" fontId="11" fillId="0" borderId="0" xfId="0" applyNumberFormat="1" applyFont="1"/>
    <xf numFmtId="37" fontId="19" fillId="0" borderId="0" xfId="0" applyNumberFormat="1" applyFont="1"/>
    <xf numFmtId="37" fontId="19" fillId="0" borderId="8" xfId="0" applyNumberFormat="1" applyFont="1" applyBorder="1"/>
    <xf numFmtId="2" fontId="11" fillId="0" borderId="8" xfId="0" applyNumberFormat="1" applyFont="1" applyBorder="1"/>
    <xf numFmtId="2" fontId="11" fillId="0" borderId="0" xfId="0" applyNumberFormat="1" applyFont="1" applyAlignment="1">
      <alignment horizontal="left"/>
    </xf>
    <xf numFmtId="2" fontId="11" fillId="0" borderId="8" xfId="0" applyNumberFormat="1" applyFont="1" applyBorder="1" applyAlignment="1">
      <alignment horizontal="left"/>
    </xf>
    <xf numFmtId="2" fontId="19" fillId="0" borderId="7" xfId="0" applyNumberFormat="1" applyFont="1" applyBorder="1" applyAlignment="1">
      <alignment horizontal="left"/>
    </xf>
    <xf numFmtId="0" fontId="11" fillId="0" borderId="8" xfId="0" applyFont="1" applyBorder="1"/>
    <xf numFmtId="2" fontId="19" fillId="0" borderId="8" xfId="0" applyNumberFormat="1" applyFont="1" applyBorder="1" applyAlignment="1">
      <alignment horizontal="left"/>
    </xf>
    <xf numFmtId="3" fontId="19" fillId="0" borderId="0" xfId="1" applyNumberFormat="1" applyFont="1" applyFill="1" applyBorder="1" applyAlignment="1" applyProtection="1"/>
    <xf numFmtId="3" fontId="19" fillId="0" borderId="8" xfId="1" applyNumberFormat="1" applyFont="1" applyFill="1" applyBorder="1" applyAlignment="1" applyProtection="1"/>
    <xf numFmtId="3" fontId="19" fillId="0" borderId="8" xfId="1" applyNumberFormat="1" applyFont="1" applyFill="1" applyBorder="1" applyAlignment="1" applyProtection="1">
      <alignment horizontal="center"/>
    </xf>
    <xf numFmtId="2" fontId="19" fillId="0" borderId="0" xfId="0" applyNumberFormat="1" applyFont="1" applyAlignment="1">
      <alignment horizontal="left"/>
    </xf>
    <xf numFmtId="3" fontId="11" fillId="0" borderId="8" xfId="1" applyNumberFormat="1" applyFont="1" applyFill="1" applyBorder="1" applyAlignment="1" applyProtection="1">
      <alignment horizontal="center"/>
    </xf>
    <xf numFmtId="3" fontId="19" fillId="0" borderId="8" xfId="1" applyNumberFormat="1" applyFont="1" applyFill="1" applyBorder="1" applyAlignment="1" applyProtection="1">
      <alignment horizontal="left"/>
    </xf>
    <xf numFmtId="3" fontId="19" fillId="0" borderId="0" xfId="1" applyNumberFormat="1" applyFont="1" applyFill="1" applyBorder="1" applyAlignment="1" applyProtection="1">
      <alignment horizontal="left"/>
    </xf>
    <xf numFmtId="0" fontId="19" fillId="0" borderId="8" xfId="0" applyFont="1" applyBorder="1" applyAlignment="1">
      <alignment horizontal="left"/>
    </xf>
    <xf numFmtId="0" fontId="19" fillId="0" borderId="0" xfId="0" applyFont="1" applyAlignment="1">
      <alignment horizontal="left"/>
    </xf>
    <xf numFmtId="2" fontId="19" fillId="0" borderId="8" xfId="0" applyNumberFormat="1" applyFont="1" applyBorder="1" applyAlignment="1">
      <alignment horizontal="center"/>
    </xf>
    <xf numFmtId="0" fontId="19" fillId="0" borderId="8" xfId="0" applyFont="1" applyBorder="1"/>
    <xf numFmtId="0" fontId="19" fillId="0" borderId="9" xfId="0" applyFont="1" applyBorder="1"/>
    <xf numFmtId="0" fontId="19" fillId="0" borderId="10" xfId="0" applyFont="1" applyBorder="1"/>
    <xf numFmtId="0" fontId="19" fillId="0" borderId="11" xfId="0" applyFont="1" applyBorder="1"/>
    <xf numFmtId="166" fontId="11" fillId="0" borderId="0" xfId="1" applyFont="1" applyFill="1"/>
    <xf numFmtId="166" fontId="11" fillId="0" borderId="0" xfId="1" applyFont="1" applyFill="1" applyBorder="1"/>
    <xf numFmtId="166" fontId="11" fillId="0" borderId="38" xfId="1" applyFont="1" applyFill="1" applyBorder="1"/>
    <xf numFmtId="166" fontId="11" fillId="0" borderId="21" xfId="1" applyFont="1" applyFill="1" applyBorder="1"/>
    <xf numFmtId="0" fontId="17" fillId="0" borderId="0" xfId="0" applyFont="1" applyAlignment="1">
      <alignment horizontal="center"/>
    </xf>
    <xf numFmtId="0" fontId="19" fillId="0" borderId="39" xfId="0" applyFont="1" applyBorder="1" applyAlignment="1">
      <alignment horizontal="center" vertical="center"/>
    </xf>
    <xf numFmtId="0" fontId="20" fillId="0" borderId="40" xfId="0" applyFont="1" applyBorder="1" applyAlignment="1">
      <alignment horizontal="center" vertical="center" wrapText="1"/>
    </xf>
    <xf numFmtId="0" fontId="19" fillId="0" borderId="41" xfId="0" applyFont="1" applyBorder="1" applyAlignment="1">
      <alignment horizontal="center" vertical="center" wrapText="1"/>
    </xf>
    <xf numFmtId="0" fontId="19" fillId="0" borderId="42"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44" xfId="0" applyFont="1" applyBorder="1" applyAlignment="1">
      <alignment horizontal="center" vertical="center" wrapText="1"/>
    </xf>
    <xf numFmtId="0" fontId="19" fillId="0" borderId="45" xfId="0" applyFont="1" applyBorder="1" applyAlignment="1">
      <alignment horizontal="center" vertical="center" wrapText="1"/>
    </xf>
    <xf numFmtId="0" fontId="11" fillId="0" borderId="46" xfId="0" applyFont="1" applyBorder="1"/>
    <xf numFmtId="0" fontId="21" fillId="0" borderId="47" xfId="0" applyFont="1" applyBorder="1" applyAlignment="1">
      <alignment horizontal="center"/>
    </xf>
    <xf numFmtId="0" fontId="11" fillId="0" borderId="48" xfId="0" applyFont="1" applyBorder="1" applyAlignment="1">
      <alignment horizontal="center"/>
    </xf>
    <xf numFmtId="0" fontId="11" fillId="0" borderId="49" xfId="0" applyFont="1" applyBorder="1" applyAlignment="1">
      <alignment horizontal="center"/>
    </xf>
    <xf numFmtId="0" fontId="11" fillId="0" borderId="48" xfId="0" applyFont="1" applyBorder="1"/>
    <xf numFmtId="0" fontId="11" fillId="0" borderId="49" xfId="0" applyFont="1" applyBorder="1"/>
    <xf numFmtId="166" fontId="11" fillId="0" borderId="25" xfId="1" applyFont="1" applyFill="1" applyBorder="1" applyAlignment="1">
      <alignment horizontal="right"/>
    </xf>
    <xf numFmtId="166" fontId="11" fillId="0" borderId="25" xfId="1" applyFont="1" applyFill="1" applyBorder="1" applyAlignment="1">
      <alignment horizontal="center"/>
    </xf>
    <xf numFmtId="0" fontId="19" fillId="0" borderId="19" xfId="0" applyFont="1" applyBorder="1" applyAlignment="1">
      <alignment horizontal="left"/>
    </xf>
    <xf numFmtId="166" fontId="19" fillId="0" borderId="50" xfId="1" applyFont="1" applyFill="1" applyBorder="1"/>
    <xf numFmtId="166" fontId="19" fillId="0" borderId="51" xfId="1" applyFont="1" applyFill="1" applyBorder="1"/>
    <xf numFmtId="37" fontId="21" fillId="0" borderId="20" xfId="0" applyNumberFormat="1" applyFont="1" applyBorder="1" applyAlignment="1">
      <alignment horizontal="center"/>
    </xf>
    <xf numFmtId="166" fontId="11" fillId="0" borderId="23" xfId="1" applyFont="1" applyFill="1" applyBorder="1"/>
    <xf numFmtId="0" fontId="11" fillId="0" borderId="7" xfId="0" applyFont="1" applyBorder="1" applyAlignment="1">
      <alignment wrapText="1"/>
    </xf>
    <xf numFmtId="168" fontId="11" fillId="0" borderId="20" xfId="0" applyNumberFormat="1" applyFont="1" applyBorder="1" applyAlignment="1">
      <alignment horizontal="center"/>
    </xf>
    <xf numFmtId="168" fontId="11" fillId="0" borderId="0" xfId="0" applyNumberFormat="1" applyFont="1" applyAlignment="1">
      <alignment horizontal="center"/>
    </xf>
    <xf numFmtId="10" fontId="11" fillId="0" borderId="0" xfId="2" applyNumberFormat="1" applyFont="1"/>
    <xf numFmtId="2" fontId="11" fillId="0" borderId="0" xfId="0" applyNumberFormat="1" applyFont="1" applyAlignment="1">
      <alignment horizontal="center"/>
    </xf>
    <xf numFmtId="0" fontId="19" fillId="0" borderId="52" xfId="0" applyFont="1" applyBorder="1"/>
    <xf numFmtId="0" fontId="11" fillId="0" borderId="29" xfId="0" applyFont="1" applyBorder="1" applyAlignment="1">
      <alignment horizontal="center"/>
    </xf>
    <xf numFmtId="0" fontId="11" fillId="0" borderId="53" xfId="0" applyFont="1" applyBorder="1" applyAlignment="1">
      <alignment horizontal="center"/>
    </xf>
    <xf numFmtId="0" fontId="11" fillId="0" borderId="8" xfId="0" applyFont="1" applyBorder="1" applyAlignment="1">
      <alignment horizontal="center"/>
    </xf>
    <xf numFmtId="166" fontId="19" fillId="0" borderId="53" xfId="1" applyFont="1" applyBorder="1"/>
    <xf numFmtId="166" fontId="19" fillId="0" borderId="54" xfId="1" applyFont="1" applyFill="1" applyBorder="1"/>
    <xf numFmtId="167" fontId="11" fillId="0" borderId="7" xfId="0" applyNumberFormat="1" applyFont="1" applyBorder="1" applyAlignment="1">
      <alignment horizontal="center"/>
    </xf>
    <xf numFmtId="2" fontId="19" fillId="0" borderId="0" xfId="0" applyNumberFormat="1" applyFont="1" applyAlignment="1">
      <alignment horizontal="left" vertical="center"/>
    </xf>
    <xf numFmtId="2" fontId="19" fillId="0" borderId="0" xfId="0" applyNumberFormat="1" applyFont="1" applyAlignment="1">
      <alignment horizontal="center" vertical="center"/>
    </xf>
    <xf numFmtId="2" fontId="19" fillId="0" borderId="9" xfId="0" applyNumberFormat="1" applyFont="1" applyBorder="1" applyAlignment="1">
      <alignment horizontal="left"/>
    </xf>
    <xf numFmtId="0" fontId="11" fillId="0" borderId="10" xfId="0" applyFont="1" applyBorder="1"/>
    <xf numFmtId="0" fontId="11" fillId="0" borderId="11" xfId="0" applyFont="1" applyBorder="1"/>
    <xf numFmtId="168" fontId="11" fillId="0" borderId="0" xfId="0" applyNumberFormat="1" applyFont="1"/>
    <xf numFmtId="10" fontId="11" fillId="0" borderId="0" xfId="2" applyNumberFormat="1" applyFont="1" applyFill="1" applyBorder="1"/>
    <xf numFmtId="170" fontId="11" fillId="0" borderId="0" xfId="0" applyNumberFormat="1" applyFont="1"/>
    <xf numFmtId="10" fontId="11" fillId="0" borderId="0" xfId="0" applyNumberFormat="1" applyFont="1"/>
    <xf numFmtId="0" fontId="19" fillId="0" borderId="26" xfId="0" applyFont="1" applyBorder="1" applyAlignment="1">
      <alignment horizontal="center" vertical="center" wrapText="1"/>
    </xf>
    <xf numFmtId="0" fontId="19" fillId="0" borderId="28" xfId="0" applyFont="1" applyBorder="1" applyAlignment="1">
      <alignment horizontal="center" vertical="center"/>
    </xf>
    <xf numFmtId="0" fontId="19" fillId="0" borderId="55" xfId="0" applyFont="1" applyBorder="1" applyAlignment="1">
      <alignment horizontal="center" vertical="center"/>
    </xf>
    <xf numFmtId="0" fontId="19" fillId="0" borderId="56" xfId="0" applyFont="1" applyBorder="1" applyAlignment="1">
      <alignment horizontal="center" vertical="center" wrapText="1"/>
    </xf>
    <xf numFmtId="0" fontId="19" fillId="0" borderId="57" xfId="0" applyFont="1" applyBorder="1" applyAlignment="1">
      <alignment horizontal="center" vertical="center"/>
    </xf>
    <xf numFmtId="2" fontId="11" fillId="0" borderId="21" xfId="0" applyNumberFormat="1" applyFont="1" applyBorder="1" applyAlignment="1">
      <alignment horizontal="center"/>
    </xf>
    <xf numFmtId="168" fontId="11" fillId="0" borderId="25" xfId="0" applyNumberFormat="1" applyFont="1" applyBorder="1"/>
    <xf numFmtId="2" fontId="11" fillId="0" borderId="0" xfId="0" applyNumberFormat="1" applyFont="1"/>
    <xf numFmtId="0" fontId="11" fillId="0" borderId="26" xfId="0" applyFont="1" applyBorder="1"/>
    <xf numFmtId="0" fontId="19" fillId="0" borderId="28" xfId="0" applyFont="1" applyBorder="1"/>
    <xf numFmtId="0" fontId="19" fillId="0" borderId="55" xfId="0" applyFont="1" applyBorder="1"/>
    <xf numFmtId="166" fontId="19" fillId="0" borderId="58" xfId="1" applyFont="1" applyFill="1" applyBorder="1"/>
    <xf numFmtId="171" fontId="11" fillId="0" borderId="0" xfId="0" applyNumberFormat="1" applyFont="1"/>
    <xf numFmtId="0" fontId="11" fillId="0" borderId="57" xfId="0" applyFont="1" applyBorder="1"/>
    <xf numFmtId="0" fontId="11" fillId="0" borderId="38" xfId="0" applyFont="1" applyBorder="1"/>
    <xf numFmtId="0" fontId="19" fillId="0" borderId="38" xfId="0" applyFont="1" applyBorder="1"/>
    <xf numFmtId="37" fontId="11" fillId="0" borderId="16" xfId="0" applyNumberFormat="1" applyFont="1" applyBorder="1"/>
    <xf numFmtId="0" fontId="19" fillId="0" borderId="26" xfId="0" applyFont="1" applyBorder="1" applyAlignment="1">
      <alignment vertical="center"/>
    </xf>
    <xf numFmtId="0" fontId="19" fillId="0" borderId="28" xfId="0" applyFont="1" applyBorder="1" applyAlignment="1">
      <alignment vertical="center"/>
    </xf>
    <xf numFmtId="0" fontId="19" fillId="0" borderId="29" xfId="0" applyFont="1" applyBorder="1" applyAlignment="1">
      <alignment horizontal="center" vertical="center" wrapText="1"/>
    </xf>
    <xf numFmtId="0" fontId="19" fillId="0" borderId="0" xfId="0" applyFont="1" applyAlignment="1">
      <alignment horizontal="center" vertical="center"/>
    </xf>
    <xf numFmtId="0" fontId="19" fillId="0" borderId="59" xfId="0" applyFont="1" applyBorder="1"/>
    <xf numFmtId="168" fontId="11" fillId="0" borderId="21" xfId="0" applyNumberFormat="1" applyFont="1" applyBorder="1"/>
    <xf numFmtId="0" fontId="11" fillId="0" borderId="0" xfId="0" applyFont="1" applyAlignment="1">
      <alignment horizontal="justify" vertical="top" wrapText="1"/>
    </xf>
    <xf numFmtId="0" fontId="19" fillId="0" borderId="0" xfId="0" applyFont="1" applyAlignment="1">
      <alignment horizontal="justify" vertical="top" wrapText="1"/>
    </xf>
    <xf numFmtId="166" fontId="11" fillId="0" borderId="21" xfId="1" applyFont="1" applyBorder="1"/>
    <xf numFmtId="166" fontId="11" fillId="0" borderId="25" xfId="1" applyFont="1" applyBorder="1"/>
    <xf numFmtId="0" fontId="11" fillId="0" borderId="0" xfId="0" applyFont="1" applyAlignment="1">
      <alignment wrapText="1"/>
    </xf>
    <xf numFmtId="1" fontId="19" fillId="0" borderId="21" xfId="0" applyNumberFormat="1" applyFont="1" applyBorder="1" applyAlignment="1">
      <alignment horizontal="center"/>
    </xf>
    <xf numFmtId="2" fontId="11" fillId="0" borderId="21" xfId="0" applyNumberFormat="1" applyFont="1" applyBorder="1" applyAlignment="1">
      <alignment horizontal="center" vertical="top" wrapText="1"/>
    </xf>
    <xf numFmtId="0" fontId="11" fillId="6" borderId="0" xfId="0" applyFont="1" applyFill="1" applyAlignment="1">
      <alignment horizontal="justify" vertical="top" wrapText="1"/>
    </xf>
    <xf numFmtId="0" fontId="11" fillId="0" borderId="38" xfId="0" applyFont="1" applyBorder="1" applyAlignment="1">
      <alignment horizontal="justify" vertical="top" wrapText="1"/>
    </xf>
    <xf numFmtId="0" fontId="11" fillId="0" borderId="60" xfId="0" applyFont="1" applyBorder="1" applyAlignment="1">
      <alignment horizontal="center"/>
    </xf>
    <xf numFmtId="169" fontId="11" fillId="0" borderId="16" xfId="1" quotePrefix="1" applyNumberFormat="1" applyFont="1" applyFill="1" applyBorder="1"/>
    <xf numFmtId="169" fontId="11" fillId="0" borderId="0" xfId="1" quotePrefix="1" applyNumberFormat="1" applyFont="1" applyFill="1" applyBorder="1"/>
    <xf numFmtId="166" fontId="11" fillId="0" borderId="60" xfId="1" applyFont="1" applyFill="1" applyBorder="1"/>
    <xf numFmtId="166" fontId="11" fillId="0" borderId="57" xfId="1" applyFont="1" applyFill="1" applyBorder="1"/>
    <xf numFmtId="0" fontId="11" fillId="0" borderId="61" xfId="0" applyFont="1" applyBorder="1"/>
    <xf numFmtId="39" fontId="19" fillId="0" borderId="62" xfId="0" applyNumberFormat="1" applyFont="1" applyBorder="1"/>
    <xf numFmtId="39" fontId="19" fillId="0" borderId="21" xfId="0" applyNumberFormat="1" applyFont="1" applyBorder="1"/>
    <xf numFmtId="39" fontId="19" fillId="0" borderId="0" xfId="0" applyNumberFormat="1" applyFont="1"/>
    <xf numFmtId="172" fontId="19" fillId="0" borderId="0" xfId="0" applyNumberFormat="1" applyFont="1"/>
    <xf numFmtId="0" fontId="19" fillId="0" borderId="59" xfId="0" applyFont="1" applyBorder="1" applyAlignment="1">
      <alignment horizontal="center" vertical="center"/>
    </xf>
    <xf numFmtId="0" fontId="19" fillId="0" borderId="63" xfId="0" applyFont="1" applyBorder="1" applyAlignment="1">
      <alignment horizontal="center" vertical="center" wrapText="1"/>
    </xf>
    <xf numFmtId="37" fontId="19" fillId="0" borderId="64" xfId="0" applyNumberFormat="1" applyFont="1" applyBorder="1" applyAlignment="1">
      <alignment horizontal="center" vertical="center" wrapText="1"/>
    </xf>
    <xf numFmtId="0" fontId="19" fillId="0" borderId="59" xfId="0" applyFont="1" applyBorder="1" applyAlignment="1">
      <alignment horizontal="left" vertical="center"/>
    </xf>
    <xf numFmtId="0" fontId="19" fillId="0" borderId="65" xfId="0" applyFont="1" applyBorder="1" applyAlignment="1">
      <alignment horizontal="left" vertical="center"/>
    </xf>
    <xf numFmtId="168" fontId="19" fillId="0" borderId="23" xfId="0" applyNumberFormat="1" applyFont="1" applyBorder="1" applyAlignment="1">
      <alignment horizontal="center" vertical="center" wrapText="1"/>
    </xf>
    <xf numFmtId="0" fontId="19" fillId="0" borderId="38" xfId="0" applyFont="1" applyBorder="1" applyAlignment="1">
      <alignment horizontal="left" vertical="center"/>
    </xf>
    <xf numFmtId="0" fontId="22" fillId="0" borderId="0" xfId="0" applyFont="1"/>
    <xf numFmtId="0" fontId="22" fillId="0" borderId="38" xfId="0" applyFont="1" applyBorder="1"/>
    <xf numFmtId="0" fontId="11" fillId="0" borderId="0" xfId="0" quotePrefix="1" applyFont="1"/>
    <xf numFmtId="0" fontId="11" fillId="0" borderId="38" xfId="0" quotePrefix="1" applyFont="1" applyBorder="1"/>
    <xf numFmtId="0" fontId="11" fillId="0" borderId="0" xfId="0" applyFont="1" applyAlignment="1">
      <alignment horizontal="justify" vertical="top"/>
    </xf>
    <xf numFmtId="0" fontId="11" fillId="0" borderId="38" xfId="0" applyFont="1" applyBorder="1" applyAlignment="1">
      <alignment horizontal="justify" vertical="top"/>
    </xf>
    <xf numFmtId="169" fontId="11" fillId="0" borderId="21" xfId="1" applyNumberFormat="1" applyFont="1" applyFill="1" applyBorder="1"/>
    <xf numFmtId="0" fontId="11" fillId="0" borderId="0" xfId="0" quotePrefix="1" applyFont="1" applyAlignment="1">
      <alignment horizontal="justify" vertical="top"/>
    </xf>
    <xf numFmtId="0" fontId="11" fillId="0" borderId="38" xfId="0" quotePrefix="1" applyFont="1" applyBorder="1" applyAlignment="1">
      <alignment horizontal="justify" vertical="top"/>
    </xf>
    <xf numFmtId="37" fontId="11" fillId="0" borderId="60" xfId="0" applyNumberFormat="1" applyFont="1" applyBorder="1" applyAlignment="1">
      <alignment horizontal="center"/>
    </xf>
    <xf numFmtId="0" fontId="11" fillId="0" borderId="16" xfId="0" applyFont="1" applyBorder="1"/>
    <xf numFmtId="166" fontId="11" fillId="0" borderId="30" xfId="1" applyFont="1" applyBorder="1"/>
    <xf numFmtId="37" fontId="11" fillId="0" borderId="26" xfId="0" applyNumberFormat="1" applyFont="1" applyBorder="1" applyAlignment="1">
      <alignment horizontal="center"/>
    </xf>
    <xf numFmtId="166" fontId="19" fillId="0" borderId="66" xfId="1" applyFont="1" applyFill="1" applyBorder="1"/>
    <xf numFmtId="166" fontId="19" fillId="0" borderId="67" xfId="1" applyFont="1" applyFill="1" applyBorder="1"/>
    <xf numFmtId="166" fontId="19" fillId="0" borderId="68" xfId="1" applyFont="1" applyBorder="1"/>
    <xf numFmtId="2" fontId="19" fillId="0" borderId="0" xfId="0" applyNumberFormat="1" applyFont="1" applyAlignment="1">
      <alignment horizontal="center"/>
    </xf>
    <xf numFmtId="37" fontId="11" fillId="0" borderId="0" xfId="0" applyNumberFormat="1" applyFont="1"/>
    <xf numFmtId="0" fontId="19" fillId="0" borderId="69" xfId="0" applyFont="1" applyBorder="1" applyAlignment="1">
      <alignment horizontal="center" vertical="center" wrapText="1"/>
    </xf>
    <xf numFmtId="0" fontId="19" fillId="0" borderId="70" xfId="0" applyFont="1" applyBorder="1" applyAlignment="1">
      <alignment horizontal="center" vertical="center" wrapText="1"/>
    </xf>
    <xf numFmtId="0" fontId="19" fillId="0" borderId="38" xfId="0" applyFont="1" applyBorder="1" applyAlignment="1">
      <alignment horizontal="center" vertical="center"/>
    </xf>
    <xf numFmtId="37" fontId="11" fillId="0" borderId="64" xfId="0" applyNumberFormat="1" applyFont="1" applyBorder="1" applyAlignment="1">
      <alignment horizontal="center"/>
    </xf>
    <xf numFmtId="2" fontId="19" fillId="0" borderId="59" xfId="0" applyNumberFormat="1" applyFont="1" applyBorder="1"/>
    <xf numFmtId="2" fontId="19" fillId="0" borderId="38" xfId="0" applyNumberFormat="1" applyFont="1" applyBorder="1"/>
    <xf numFmtId="168" fontId="11" fillId="0" borderId="25" xfId="1" applyNumberFormat="1" applyFont="1" applyFill="1" applyBorder="1"/>
    <xf numFmtId="2" fontId="11" fillId="0" borderId="0" xfId="0" applyNumberFormat="1" applyFont="1" applyAlignment="1">
      <alignment horizontal="justify" vertical="top" wrapText="1"/>
    </xf>
    <xf numFmtId="2" fontId="11" fillId="0" borderId="38" xfId="0" applyNumberFormat="1" applyFont="1" applyBorder="1" applyAlignment="1">
      <alignment horizontal="justify" vertical="top" wrapText="1"/>
    </xf>
    <xf numFmtId="0" fontId="11" fillId="0" borderId="60" xfId="0" applyFont="1" applyBorder="1"/>
    <xf numFmtId="166" fontId="11" fillId="0" borderId="71" xfId="1" applyFont="1" applyFill="1" applyBorder="1"/>
    <xf numFmtId="166" fontId="11" fillId="0" borderId="72" xfId="1" applyFont="1" applyFill="1" applyBorder="1"/>
    <xf numFmtId="166" fontId="11" fillId="0" borderId="71" xfId="1" applyFont="1" applyBorder="1"/>
    <xf numFmtId="166" fontId="11" fillId="0" borderId="72" xfId="1" applyFont="1" applyBorder="1"/>
    <xf numFmtId="166" fontId="19" fillId="0" borderId="73" xfId="1" applyFont="1" applyFill="1" applyBorder="1"/>
    <xf numFmtId="166" fontId="19" fillId="0" borderId="74" xfId="1" applyFont="1" applyFill="1" applyBorder="1"/>
    <xf numFmtId="166" fontId="19" fillId="0" borderId="73" xfId="1" applyFont="1" applyBorder="1"/>
    <xf numFmtId="166" fontId="19" fillId="0" borderId="74" xfId="1" applyFont="1" applyBorder="1"/>
    <xf numFmtId="173" fontId="11" fillId="0" borderId="0" xfId="0" applyNumberFormat="1" applyFont="1" applyAlignment="1">
      <alignment horizontal="justify" vertical="top" wrapText="1"/>
    </xf>
    <xf numFmtId="3" fontId="19" fillId="0" borderId="0" xfId="1" applyNumberFormat="1" applyFont="1" applyFill="1" applyBorder="1" applyAlignment="1" applyProtection="1">
      <alignment horizontal="center"/>
    </xf>
    <xf numFmtId="37" fontId="19" fillId="0" borderId="26" xfId="0" applyNumberFormat="1" applyFont="1" applyBorder="1" applyAlignment="1">
      <alignment horizontal="center" vertical="center" wrapText="1"/>
    </xf>
    <xf numFmtId="37" fontId="19" fillId="0" borderId="29" xfId="0" applyNumberFormat="1" applyFont="1" applyBorder="1" applyAlignment="1">
      <alignment horizontal="center" vertical="center" wrapText="1"/>
    </xf>
    <xf numFmtId="2" fontId="11" fillId="0" borderId="38" xfId="0" applyNumberFormat="1" applyFont="1" applyBorder="1"/>
    <xf numFmtId="2" fontId="11" fillId="0" borderId="21" xfId="0" applyNumberFormat="1" applyFont="1" applyBorder="1" applyAlignment="1">
      <alignment horizontal="right"/>
    </xf>
    <xf numFmtId="2" fontId="11" fillId="0" borderId="0" xfId="0" applyNumberFormat="1" applyFont="1" applyAlignment="1">
      <alignment vertical="top"/>
    </xf>
    <xf numFmtId="2" fontId="11" fillId="0" borderId="38" xfId="0" applyNumberFormat="1" applyFont="1" applyBorder="1" applyAlignment="1">
      <alignment vertical="top"/>
    </xf>
    <xf numFmtId="37" fontId="11" fillId="0" borderId="60" xfId="0" applyNumberFormat="1" applyFont="1" applyBorder="1"/>
    <xf numFmtId="166" fontId="19" fillId="0" borderId="68" xfId="1" applyFont="1" applyFill="1" applyBorder="1"/>
    <xf numFmtId="166" fontId="19" fillId="0" borderId="75" xfId="1" applyFont="1" applyFill="1" applyBorder="1"/>
    <xf numFmtId="166" fontId="19" fillId="0" borderId="75" xfId="1" applyFont="1" applyBorder="1"/>
    <xf numFmtId="1" fontId="11" fillId="0" borderId="0" xfId="0" applyNumberFormat="1" applyFont="1"/>
    <xf numFmtId="1" fontId="19" fillId="0" borderId="69" xfId="0" applyNumberFormat="1" applyFont="1" applyBorder="1" applyAlignment="1">
      <alignment horizontal="center" vertical="center" wrapText="1"/>
    </xf>
    <xf numFmtId="1" fontId="19" fillId="0" borderId="70" xfId="0" applyNumberFormat="1" applyFont="1" applyBorder="1" applyAlignment="1">
      <alignment horizontal="center" vertical="center" wrapText="1"/>
    </xf>
    <xf numFmtId="168" fontId="11" fillId="0" borderId="71" xfId="0" applyNumberFormat="1" applyFont="1" applyBorder="1"/>
    <xf numFmtId="168" fontId="11" fillId="0" borderId="72" xfId="0" applyNumberFormat="1" applyFont="1" applyBorder="1"/>
    <xf numFmtId="2" fontId="19" fillId="0" borderId="0" xfId="0" applyNumberFormat="1" applyFont="1"/>
    <xf numFmtId="169" fontId="11" fillId="0" borderId="71" xfId="0" applyNumberFormat="1" applyFont="1" applyBorder="1"/>
    <xf numFmtId="169" fontId="11" fillId="0" borderId="72" xfId="0" applyNumberFormat="1" applyFont="1" applyBorder="1"/>
    <xf numFmtId="37" fontId="11" fillId="0" borderId="21" xfId="0" applyNumberFormat="1" applyFont="1" applyBorder="1"/>
    <xf numFmtId="37" fontId="11" fillId="0" borderId="26" xfId="0" applyNumberFormat="1" applyFont="1" applyBorder="1"/>
    <xf numFmtId="166" fontId="19" fillId="0" borderId="76" xfId="1" applyFont="1" applyFill="1" applyBorder="1"/>
    <xf numFmtId="166" fontId="19" fillId="0" borderId="77" xfId="1" applyFont="1" applyBorder="1"/>
    <xf numFmtId="166" fontId="19" fillId="0" borderId="76" xfId="1" applyFont="1" applyBorder="1"/>
    <xf numFmtId="168" fontId="19" fillId="0" borderId="0" xfId="0" applyNumberFormat="1" applyFont="1"/>
    <xf numFmtId="174" fontId="19" fillId="0" borderId="0" xfId="0" applyNumberFormat="1" applyFont="1"/>
    <xf numFmtId="174" fontId="11" fillId="0" borderId="0" xfId="0" applyNumberFormat="1" applyFont="1"/>
    <xf numFmtId="37" fontId="19" fillId="0" borderId="16" xfId="0" applyNumberFormat="1" applyFont="1" applyBorder="1" applyAlignment="1">
      <alignment horizontal="center" vertical="top"/>
    </xf>
    <xf numFmtId="174" fontId="19" fillId="0" borderId="16" xfId="0" applyNumberFormat="1" applyFont="1" applyBorder="1" applyAlignment="1">
      <alignment vertical="top"/>
    </xf>
    <xf numFmtId="174" fontId="11" fillId="0" borderId="0" xfId="0" applyNumberFormat="1" applyFont="1" applyAlignment="1">
      <alignment vertical="top"/>
    </xf>
    <xf numFmtId="174" fontId="19" fillId="0" borderId="0" xfId="0" applyNumberFormat="1" applyFont="1" applyAlignment="1">
      <alignment horizontal="right"/>
    </xf>
    <xf numFmtId="0" fontId="19" fillId="0" borderId="25" xfId="0" applyFont="1" applyBorder="1" applyAlignment="1">
      <alignment horizontal="center" vertical="top" wrapText="1"/>
    </xf>
    <xf numFmtId="174" fontId="19" fillId="0" borderId="23" xfId="0" applyNumberFormat="1" applyFont="1" applyBorder="1" applyAlignment="1">
      <alignment horizontal="center" vertical="top"/>
    </xf>
    <xf numFmtId="174" fontId="19" fillId="0" borderId="64" xfId="0" applyNumberFormat="1" applyFont="1" applyBorder="1" applyAlignment="1">
      <alignment horizontal="center" vertical="top" wrapText="1"/>
    </xf>
    <xf numFmtId="174" fontId="19" fillId="0" borderId="59" xfId="0" applyNumberFormat="1" applyFont="1" applyBorder="1" applyAlignment="1">
      <alignment horizontal="center" vertical="top" wrapText="1"/>
    </xf>
    <xf numFmtId="174" fontId="19" fillId="0" borderId="65" xfId="0" applyNumberFormat="1" applyFont="1" applyBorder="1" applyAlignment="1">
      <alignment horizontal="center" vertical="top" wrapText="1"/>
    </xf>
    <xf numFmtId="174" fontId="19" fillId="0" borderId="23" xfId="0" applyNumberFormat="1" applyFont="1" applyBorder="1" applyAlignment="1">
      <alignment horizontal="center" vertical="top" wrapText="1"/>
    </xf>
    <xf numFmtId="174" fontId="19" fillId="0" borderId="25" xfId="0" applyNumberFormat="1" applyFont="1" applyBorder="1" applyAlignment="1">
      <alignment horizontal="center" vertical="top"/>
    </xf>
    <xf numFmtId="174" fontId="19" fillId="0" borderId="21" xfId="0" applyNumberFormat="1" applyFont="1" applyBorder="1" applyAlignment="1">
      <alignment horizontal="center" vertical="top" wrapText="1"/>
    </xf>
    <xf numFmtId="174" fontId="19" fillId="0" borderId="0" xfId="0" applyNumberFormat="1" applyFont="1" applyAlignment="1">
      <alignment horizontal="center" vertical="top" wrapText="1"/>
    </xf>
    <xf numFmtId="174" fontId="19" fillId="0" borderId="38" xfId="0" applyNumberFormat="1" applyFont="1" applyBorder="1" applyAlignment="1">
      <alignment horizontal="center" vertical="top" wrapText="1"/>
    </xf>
    <xf numFmtId="174" fontId="19" fillId="0" borderId="25" xfId="0" applyNumberFormat="1" applyFont="1" applyBorder="1" applyAlignment="1">
      <alignment horizontal="center" vertical="top" wrapText="1"/>
    </xf>
    <xf numFmtId="174" fontId="19" fillId="0" borderId="30" xfId="0" applyNumberFormat="1" applyFont="1" applyBorder="1" applyAlignment="1">
      <alignment horizontal="center" vertical="top"/>
    </xf>
    <xf numFmtId="174" fontId="19" fillId="0" borderId="60" xfId="0" applyNumberFormat="1" applyFont="1" applyBorder="1" applyAlignment="1">
      <alignment horizontal="center" vertical="top" wrapText="1"/>
    </xf>
    <xf numFmtId="174" fontId="19" fillId="0" borderId="16" xfId="0" applyNumberFormat="1" applyFont="1" applyBorder="1" applyAlignment="1">
      <alignment horizontal="center" vertical="top" wrapText="1"/>
    </xf>
    <xf numFmtId="174" fontId="19" fillId="0" borderId="57" xfId="0" applyNumberFormat="1" applyFont="1" applyBorder="1" applyAlignment="1">
      <alignment horizontal="center" vertical="top" wrapText="1"/>
    </xf>
    <xf numFmtId="0" fontId="11" fillId="0" borderId="23" xfId="0" applyFont="1" applyBorder="1" applyAlignment="1">
      <alignment horizontal="center" vertical="top" wrapText="1"/>
    </xf>
    <xf numFmtId="174" fontId="11" fillId="0" borderId="23" xfId="0" applyNumberFormat="1" applyFont="1" applyBorder="1" applyAlignment="1">
      <alignment horizontal="center" vertical="top"/>
    </xf>
    <xf numFmtId="174" fontId="11" fillId="0" borderId="59" xfId="0" applyNumberFormat="1" applyFont="1" applyBorder="1" applyAlignment="1">
      <alignment horizontal="center" vertical="top" wrapText="1"/>
    </xf>
    <xf numFmtId="174" fontId="11" fillId="0" borderId="0" xfId="0" applyNumberFormat="1" applyFont="1" applyAlignment="1">
      <alignment horizontal="center" vertical="top" wrapText="1"/>
    </xf>
    <xf numFmtId="174" fontId="11" fillId="0" borderId="38" xfId="0" applyNumberFormat="1" applyFont="1" applyBorder="1" applyAlignment="1">
      <alignment horizontal="center" vertical="top" wrapText="1"/>
    </xf>
    <xf numFmtId="174" fontId="11" fillId="0" borderId="23" xfId="0" applyNumberFormat="1" applyFont="1" applyBorder="1" applyAlignment="1">
      <alignment horizontal="center" vertical="top" wrapText="1"/>
    </xf>
    <xf numFmtId="0" fontId="11" fillId="0" borderId="25" xfId="0" applyFont="1" applyBorder="1" applyAlignment="1">
      <alignment horizontal="center" vertical="top"/>
    </xf>
    <xf numFmtId="174" fontId="19" fillId="0" borderId="25" xfId="0" applyNumberFormat="1" applyFont="1" applyBorder="1" applyAlignment="1">
      <alignment vertical="top"/>
    </xf>
    <xf numFmtId="174" fontId="11" fillId="0" borderId="38" xfId="0" applyNumberFormat="1" applyFont="1" applyBorder="1" applyAlignment="1">
      <alignment vertical="top"/>
    </xf>
    <xf numFmtId="174" fontId="11" fillId="0" borderId="25" xfId="0" applyNumberFormat="1" applyFont="1" applyBorder="1" applyAlignment="1">
      <alignment vertical="top"/>
    </xf>
    <xf numFmtId="0" fontId="11" fillId="0" borderId="25" xfId="0" applyFont="1" applyBorder="1" applyAlignment="1">
      <alignment horizontal="center" vertical="center"/>
    </xf>
    <xf numFmtId="174" fontId="11" fillId="0" borderId="25" xfId="0" applyNumberFormat="1" applyFont="1" applyBorder="1" applyAlignment="1">
      <alignment vertical="center"/>
    </xf>
    <xf numFmtId="166" fontId="11" fillId="0" borderId="0" xfId="1" applyFont="1" applyBorder="1" applyAlignment="1">
      <alignment vertical="center"/>
    </xf>
    <xf numFmtId="166" fontId="11" fillId="0" borderId="38" xfId="1" applyFont="1" applyBorder="1" applyAlignment="1">
      <alignment vertical="center"/>
    </xf>
    <xf numFmtId="10" fontId="11" fillId="0" borderId="0" xfId="2" applyNumberFormat="1" applyFont="1" applyBorder="1" applyAlignment="1">
      <alignment vertical="center"/>
    </xf>
    <xf numFmtId="166" fontId="11" fillId="0" borderId="25" xfId="1" applyFont="1" applyBorder="1" applyAlignment="1">
      <alignment vertical="center"/>
    </xf>
    <xf numFmtId="174" fontId="19" fillId="0" borderId="58" xfId="0" applyNumberFormat="1" applyFont="1" applyBorder="1" applyAlignment="1">
      <alignment horizontal="left" vertical="center"/>
    </xf>
    <xf numFmtId="166" fontId="19" fillId="0" borderId="62" xfId="1" applyFont="1" applyBorder="1" applyAlignment="1">
      <alignment vertical="center"/>
    </xf>
    <xf numFmtId="166" fontId="19" fillId="0" borderId="78" xfId="1" applyFont="1" applyBorder="1" applyAlignment="1">
      <alignment vertical="center"/>
    </xf>
    <xf numFmtId="166" fontId="19" fillId="0" borderId="58" xfId="1" applyFont="1" applyBorder="1" applyAlignment="1">
      <alignment vertical="center"/>
    </xf>
    <xf numFmtId="166" fontId="11" fillId="0" borderId="79" xfId="1" applyFont="1" applyBorder="1" applyAlignment="1">
      <alignment vertical="center"/>
    </xf>
    <xf numFmtId="166" fontId="11" fillId="0" borderId="53" xfId="1" applyFont="1" applyBorder="1" applyAlignment="1">
      <alignment vertical="center"/>
    </xf>
    <xf numFmtId="166" fontId="11" fillId="0" borderId="80" xfId="1" applyFont="1" applyBorder="1" applyAlignment="1">
      <alignment vertical="center"/>
    </xf>
    <xf numFmtId="166" fontId="11" fillId="0" borderId="81" xfId="1" applyFont="1" applyBorder="1" applyAlignment="1">
      <alignment vertical="center"/>
    </xf>
    <xf numFmtId="166" fontId="11" fillId="0" borderId="16" xfId="1" applyFont="1" applyBorder="1" applyAlignment="1">
      <alignment vertical="center"/>
    </xf>
    <xf numFmtId="166" fontId="11" fillId="0" borderId="57" xfId="1" applyFont="1" applyBorder="1" applyAlignment="1">
      <alignment vertical="center"/>
    </xf>
    <xf numFmtId="166" fontId="11" fillId="0" borderId="30" xfId="1" applyFont="1" applyBorder="1" applyAlignment="1">
      <alignment vertical="center"/>
    </xf>
    <xf numFmtId="0" fontId="11" fillId="0" borderId="30" xfId="0" applyFont="1" applyBorder="1" applyAlignment="1">
      <alignment horizontal="center" vertical="center"/>
    </xf>
    <xf numFmtId="174" fontId="19" fillId="0" borderId="29" xfId="0" applyNumberFormat="1" applyFont="1" applyBorder="1" applyAlignment="1">
      <alignment horizontal="left" vertical="center"/>
    </xf>
    <xf numFmtId="166" fontId="19" fillId="0" borderId="28" xfId="1" applyFont="1" applyBorder="1" applyAlignment="1">
      <alignment vertical="center"/>
    </xf>
    <xf numFmtId="166" fontId="19" fillId="0" borderId="55" xfId="1" applyFont="1" applyBorder="1" applyAlignment="1">
      <alignment vertical="center"/>
    </xf>
    <xf numFmtId="166" fontId="19" fillId="0" borderId="29" xfId="1" applyFont="1" applyBorder="1" applyAlignment="1">
      <alignment vertical="center"/>
    </xf>
    <xf numFmtId="0" fontId="11" fillId="0" borderId="0" xfId="0" applyFont="1" applyAlignment="1">
      <alignment horizontal="center" vertical="center"/>
    </xf>
    <xf numFmtId="174" fontId="19" fillId="0" borderId="0" xfId="0" applyNumberFormat="1" applyFont="1" applyAlignment="1">
      <alignment horizontal="left" vertical="center"/>
    </xf>
    <xf numFmtId="169" fontId="19" fillId="0" borderId="0" xfId="4" applyNumberFormat="1" applyFont="1" applyBorder="1" applyAlignment="1">
      <alignment vertical="center"/>
    </xf>
    <xf numFmtId="174" fontId="19" fillId="0" borderId="0" xfId="0" applyNumberFormat="1" applyFont="1" applyAlignment="1">
      <alignment vertical="top"/>
    </xf>
    <xf numFmtId="174" fontId="19" fillId="0" borderId="0" xfId="0" applyNumberFormat="1" applyFont="1" applyAlignment="1">
      <alignment horizontal="center" vertical="top"/>
    </xf>
    <xf numFmtId="174" fontId="19" fillId="0" borderId="0" xfId="0" applyNumberFormat="1" applyFont="1" applyAlignment="1">
      <alignment horizontal="center"/>
    </xf>
    <xf numFmtId="174" fontId="11" fillId="0" borderId="38" xfId="0" applyNumberFormat="1" applyFont="1" applyBorder="1" applyAlignment="1">
      <alignment vertical="center"/>
    </xf>
    <xf numFmtId="174" fontId="11" fillId="0" borderId="0" xfId="0" applyNumberFormat="1" applyFont="1" applyAlignment="1">
      <alignment vertical="center"/>
    </xf>
    <xf numFmtId="174" fontId="11" fillId="0" borderId="38" xfId="0" applyNumberFormat="1" applyFont="1" applyBorder="1"/>
    <xf numFmtId="166" fontId="11" fillId="0" borderId="0" xfId="1" applyFont="1" applyAlignment="1">
      <alignment vertical="center"/>
    </xf>
    <xf numFmtId="174" fontId="11" fillId="0" borderId="21" xfId="0" applyNumberFormat="1" applyFont="1" applyBorder="1" applyAlignment="1">
      <alignment vertical="top"/>
    </xf>
    <xf numFmtId="166" fontId="19" fillId="0" borderId="0" xfId="1" applyFont="1" applyBorder="1" applyAlignment="1">
      <alignment vertical="center"/>
    </xf>
    <xf numFmtId="174" fontId="19" fillId="0" borderId="0" xfId="0" applyNumberFormat="1" applyFont="1" applyAlignment="1">
      <alignment horizontal="left" vertical="top"/>
    </xf>
    <xf numFmtId="169" fontId="19" fillId="0" borderId="0" xfId="1" applyNumberFormat="1" applyFont="1"/>
    <xf numFmtId="169" fontId="19" fillId="0" borderId="29" xfId="1" applyNumberFormat="1" applyFont="1" applyBorder="1" applyAlignment="1">
      <alignment horizontal="center" vertical="center" wrapText="1"/>
    </xf>
    <xf numFmtId="0" fontId="19" fillId="0" borderId="25" xfId="0" applyFont="1" applyBorder="1" applyAlignment="1">
      <alignment horizontal="center" vertical="center"/>
    </xf>
    <xf numFmtId="169" fontId="19" fillId="0" borderId="21" xfId="1" applyNumberFormat="1" applyFont="1" applyFill="1" applyBorder="1" applyAlignment="1">
      <alignment horizontal="center"/>
    </xf>
    <xf numFmtId="169" fontId="19" fillId="0" borderId="0" xfId="1" applyNumberFormat="1" applyFont="1" applyBorder="1"/>
    <xf numFmtId="169" fontId="19" fillId="0" borderId="38" xfId="1" applyNumberFormat="1" applyFont="1" applyBorder="1"/>
    <xf numFmtId="168" fontId="11" fillId="0" borderId="25" xfId="1" applyNumberFormat="1" applyFont="1" applyBorder="1"/>
    <xf numFmtId="168" fontId="11" fillId="0" borderId="38" xfId="1" applyNumberFormat="1" applyFont="1" applyBorder="1"/>
    <xf numFmtId="169" fontId="11" fillId="0" borderId="21" xfId="1" quotePrefix="1" applyNumberFormat="1" applyFont="1" applyFill="1" applyBorder="1" applyAlignment="1">
      <alignment horizontal="center" vertical="top"/>
    </xf>
    <xf numFmtId="169" fontId="11" fillId="0" borderId="0" xfId="1" applyNumberFormat="1" applyFont="1" applyBorder="1" applyAlignment="1">
      <alignment wrapText="1"/>
    </xf>
    <xf numFmtId="169" fontId="11" fillId="0" borderId="38" xfId="1" applyNumberFormat="1" applyFont="1" applyBorder="1" applyAlignment="1">
      <alignment wrapText="1"/>
    </xf>
    <xf numFmtId="169" fontId="11" fillId="0" borderId="21" xfId="1" applyNumberFormat="1" applyFont="1" applyBorder="1" applyAlignment="1">
      <alignment horizontal="center"/>
    </xf>
    <xf numFmtId="169" fontId="11" fillId="0" borderId="0" xfId="1" applyNumberFormat="1" applyFont="1" applyBorder="1"/>
    <xf numFmtId="169" fontId="11" fillId="0" borderId="38" xfId="1" applyNumberFormat="1" applyFont="1" applyBorder="1"/>
    <xf numFmtId="169" fontId="19" fillId="0" borderId="26" xfId="1" applyNumberFormat="1" applyFont="1" applyBorder="1" applyAlignment="1">
      <alignment horizontal="center" vertical="center"/>
    </xf>
    <xf numFmtId="0" fontId="19" fillId="0" borderId="55" xfId="0" applyFont="1" applyBorder="1" applyAlignment="1">
      <alignment horizontal="left"/>
    </xf>
    <xf numFmtId="166" fontId="19" fillId="0" borderId="82" xfId="1" applyFont="1" applyBorder="1"/>
    <xf numFmtId="169" fontId="11" fillId="0" borderId="21" xfId="1" applyNumberFormat="1" applyFont="1" applyBorder="1" applyAlignment="1">
      <alignment horizontal="center" vertical="top"/>
    </xf>
    <xf numFmtId="169" fontId="11" fillId="0" borderId="0" xfId="1" applyNumberFormat="1" applyFont="1" applyFill="1" applyBorder="1" applyAlignment="1">
      <alignment vertical="top"/>
    </xf>
    <xf numFmtId="169" fontId="11" fillId="0" borderId="38" xfId="1" applyNumberFormat="1" applyFont="1" applyFill="1" applyBorder="1" applyAlignment="1">
      <alignment vertical="top" wrapText="1"/>
    </xf>
    <xf numFmtId="168" fontId="11" fillId="0" borderId="0" xfId="0" applyNumberFormat="1" applyFont="1" applyAlignment="1">
      <alignment horizontal="right"/>
    </xf>
    <xf numFmtId="168" fontId="11" fillId="0" borderId="0" xfId="0" applyNumberFormat="1" applyFont="1" applyAlignment="1">
      <alignment horizontal="right"/>
    </xf>
    <xf numFmtId="0" fontId="19" fillId="0" borderId="64" xfId="0" applyFont="1" applyBorder="1" applyAlignment="1">
      <alignment horizontal="center" vertical="center" wrapText="1"/>
    </xf>
    <xf numFmtId="0" fontId="19" fillId="0" borderId="0" xfId="0" applyFont="1" applyAlignment="1">
      <alignment horizontal="left" vertical="center"/>
    </xf>
    <xf numFmtId="168" fontId="19" fillId="0" borderId="71" xfId="0" applyNumberFormat="1" applyFont="1" applyBorder="1" applyAlignment="1">
      <alignment horizontal="center" vertical="center" wrapText="1"/>
    </xf>
    <xf numFmtId="168" fontId="19" fillId="0" borderId="72" xfId="0" applyNumberFormat="1" applyFont="1" applyBorder="1" applyAlignment="1">
      <alignment horizontal="center" vertical="center" wrapText="1"/>
    </xf>
    <xf numFmtId="0" fontId="11" fillId="0" borderId="21" xfId="0" applyFont="1" applyBorder="1" applyAlignment="1">
      <alignment horizontal="center" vertical="center" wrapText="1"/>
    </xf>
    <xf numFmtId="0" fontId="11" fillId="0" borderId="0" xfId="0" applyFont="1" applyAlignment="1">
      <alignment horizontal="left" vertical="center"/>
    </xf>
    <xf numFmtId="166" fontId="11" fillId="0" borderId="83" xfId="1" applyFont="1" applyBorder="1"/>
    <xf numFmtId="0" fontId="11" fillId="0" borderId="38" xfId="0" applyFont="1" applyBorder="1" applyAlignment="1">
      <alignment wrapText="1"/>
    </xf>
    <xf numFmtId="0" fontId="19" fillId="0" borderId="21" xfId="0" applyFont="1" applyBorder="1" applyAlignment="1">
      <alignment horizontal="center" vertical="center"/>
    </xf>
    <xf numFmtId="0" fontId="11" fillId="0" borderId="64" xfId="0" applyFont="1" applyBorder="1" applyAlignment="1">
      <alignment horizontal="center" vertical="center" wrapText="1"/>
    </xf>
    <xf numFmtId="0" fontId="22" fillId="0" borderId="59" xfId="0" applyFont="1" applyBorder="1" applyAlignment="1">
      <alignment horizontal="left" vertical="center"/>
    </xf>
    <xf numFmtId="0" fontId="22" fillId="0" borderId="0" xfId="0" applyFont="1" applyAlignment="1">
      <alignment horizontal="left" vertical="center"/>
    </xf>
    <xf numFmtId="168" fontId="19" fillId="0" borderId="84" xfId="0" applyNumberFormat="1" applyFont="1" applyBorder="1" applyAlignment="1">
      <alignment horizontal="center" vertical="center" wrapText="1"/>
    </xf>
    <xf numFmtId="0" fontId="22" fillId="0" borderId="21" xfId="0" applyFont="1" applyBorder="1" applyAlignment="1">
      <alignment horizontal="left" vertical="center"/>
    </xf>
    <xf numFmtId="166" fontId="11" fillId="0" borderId="71" xfId="1" applyFont="1" applyBorder="1" applyAlignment="1">
      <alignment horizontal="right" vertical="center" wrapText="1"/>
    </xf>
    <xf numFmtId="166" fontId="11" fillId="0" borderId="84" xfId="1" applyFont="1" applyBorder="1" applyAlignment="1">
      <alignment horizontal="right" vertical="center" wrapText="1"/>
    </xf>
    <xf numFmtId="166" fontId="11" fillId="0" borderId="85" xfId="1" applyFont="1" applyBorder="1"/>
    <xf numFmtId="166" fontId="11" fillId="0" borderId="86" xfId="1" applyFont="1" applyBorder="1"/>
    <xf numFmtId="166" fontId="19" fillId="0" borderId="87" xfId="1" applyFont="1" applyFill="1" applyBorder="1"/>
    <xf numFmtId="166" fontId="19" fillId="0" borderId="88" xfId="1" applyFont="1" applyBorder="1"/>
    <xf numFmtId="0" fontId="19" fillId="0" borderId="20" xfId="0" applyFont="1" applyBorder="1"/>
    <xf numFmtId="166" fontId="19" fillId="0" borderId="87" xfId="1" applyFont="1" applyBorder="1"/>
    <xf numFmtId="0" fontId="19" fillId="0" borderId="21" xfId="0" applyFont="1" applyBorder="1" applyAlignment="1">
      <alignment horizontal="center"/>
    </xf>
    <xf numFmtId="0" fontId="11" fillId="0" borderId="21" xfId="0" applyFont="1" applyBorder="1"/>
    <xf numFmtId="0" fontId="23" fillId="0" borderId="16" xfId="0" applyFont="1" applyBorder="1"/>
    <xf numFmtId="0" fontId="23" fillId="0" borderId="57" xfId="0" applyFont="1" applyBorder="1"/>
    <xf numFmtId="168" fontId="11" fillId="0" borderId="30" xfId="0" applyNumberFormat="1" applyFont="1" applyBorder="1"/>
    <xf numFmtId="0" fontId="23" fillId="0" borderId="0" xfId="0" applyFont="1"/>
    <xf numFmtId="0" fontId="19" fillId="0" borderId="16" xfId="0" applyFont="1" applyBorder="1"/>
    <xf numFmtId="166" fontId="19" fillId="0" borderId="89" xfId="1" applyFont="1" applyBorder="1"/>
    <xf numFmtId="0" fontId="24" fillId="0" borderId="0" xfId="0" applyFont="1"/>
    <xf numFmtId="2" fontId="19" fillId="0" borderId="25" xfId="0" applyNumberFormat="1" applyFont="1" applyBorder="1"/>
    <xf numFmtId="166" fontId="11" fillId="0" borderId="29" xfId="1" applyFont="1" applyFill="1" applyBorder="1"/>
    <xf numFmtId="166" fontId="11" fillId="0" borderId="29" xfId="1" applyFont="1" applyBorder="1"/>
    <xf numFmtId="0" fontId="19" fillId="0" borderId="28" xfId="0" applyFont="1" applyBorder="1" applyAlignment="1">
      <alignment horizontal="left"/>
    </xf>
    <xf numFmtId="37" fontId="19" fillId="0" borderId="21" xfId="0" applyNumberFormat="1" applyFont="1" applyBorder="1" applyAlignment="1">
      <alignment horizontal="center"/>
    </xf>
    <xf numFmtId="37" fontId="11" fillId="0" borderId="71" xfId="0" applyNumberFormat="1" applyFont="1" applyBorder="1"/>
    <xf numFmtId="37" fontId="11" fillId="0" borderId="72" xfId="0" applyNumberFormat="1" applyFont="1" applyBorder="1"/>
    <xf numFmtId="0" fontId="11" fillId="0" borderId="0" xfId="0" applyFont="1" applyAlignment="1">
      <alignment vertical="top"/>
    </xf>
    <xf numFmtId="0" fontId="11" fillId="0" borderId="38" xfId="0" applyFont="1" applyBorder="1" applyAlignment="1">
      <alignment vertical="top"/>
    </xf>
    <xf numFmtId="166" fontId="11" fillId="0" borderId="38" xfId="1" applyFont="1" applyBorder="1" applyAlignment="1">
      <alignment vertical="top"/>
    </xf>
    <xf numFmtId="166" fontId="11" fillId="0" borderId="85" xfId="1" applyFont="1" applyFill="1" applyBorder="1"/>
    <xf numFmtId="169" fontId="19" fillId="0" borderId="55" xfId="1" applyNumberFormat="1" applyFont="1" applyBorder="1" applyAlignment="1">
      <alignment horizontal="center" vertical="center" wrapText="1"/>
    </xf>
    <xf numFmtId="0" fontId="11" fillId="0" borderId="59" xfId="0" applyFont="1" applyBorder="1"/>
    <xf numFmtId="0" fontId="11" fillId="0" borderId="65" xfId="0" applyFont="1" applyBorder="1"/>
    <xf numFmtId="37" fontId="11" fillId="0" borderId="23" xfId="0" applyNumberFormat="1" applyFont="1" applyBorder="1"/>
    <xf numFmtId="37" fontId="11" fillId="0" borderId="65" xfId="0" applyNumberFormat="1" applyFont="1" applyBorder="1"/>
    <xf numFmtId="166" fontId="11" fillId="0" borderId="38" xfId="1" applyFont="1" applyBorder="1"/>
    <xf numFmtId="166" fontId="19" fillId="0" borderId="90" xfId="1" applyFont="1" applyBorder="1"/>
    <xf numFmtId="166" fontId="11" fillId="0" borderId="25" xfId="1" applyFont="1" applyFill="1" applyBorder="1" applyAlignment="1">
      <alignment horizontal="right" vertical="top" wrapText="1"/>
    </xf>
    <xf numFmtId="169" fontId="11" fillId="0" borderId="23" xfId="1" applyNumberFormat="1" applyFont="1" applyFill="1" applyBorder="1" applyAlignment="1">
      <alignment horizontal="right" vertical="top" wrapText="1"/>
    </xf>
    <xf numFmtId="169" fontId="11" fillId="0" borderId="23" xfId="0" applyNumberFormat="1" applyFont="1" applyBorder="1" applyAlignment="1">
      <alignment horizontal="right" vertical="top" wrapText="1"/>
    </xf>
    <xf numFmtId="166" fontId="11" fillId="0" borderId="0" xfId="1" applyFont="1" applyFill="1" applyBorder="1" applyAlignment="1">
      <alignment horizontal="right" vertical="top" wrapText="1"/>
    </xf>
    <xf numFmtId="166" fontId="11" fillId="0" borderId="21" xfId="1" applyFont="1" applyFill="1" applyBorder="1" applyAlignment="1">
      <alignment horizontal="right" vertical="top" wrapText="1"/>
    </xf>
    <xf numFmtId="166" fontId="11" fillId="0" borderId="25" xfId="1" applyFont="1" applyBorder="1" applyAlignment="1">
      <alignment horizontal="right" vertical="top" wrapText="1"/>
    </xf>
    <xf numFmtId="166" fontId="19" fillId="0" borderId="91" xfId="1" applyFont="1" applyBorder="1"/>
    <xf numFmtId="166" fontId="19" fillId="0" borderId="92" xfId="1" applyFont="1" applyBorder="1"/>
    <xf numFmtId="166" fontId="19" fillId="0" borderId="0" xfId="1" applyFont="1" applyBorder="1"/>
    <xf numFmtId="169" fontId="19" fillId="0" borderId="0" xfId="0" applyNumberFormat="1" applyFont="1"/>
    <xf numFmtId="0" fontId="11" fillId="0" borderId="16" xfId="0" quotePrefix="1" applyFont="1" applyBorder="1"/>
    <xf numFmtId="166" fontId="19" fillId="0" borderId="92" xfId="1" applyFont="1" applyFill="1" applyBorder="1"/>
    <xf numFmtId="37" fontId="19" fillId="0" borderId="16" xfId="0" applyNumberFormat="1" applyFont="1" applyBorder="1"/>
    <xf numFmtId="0" fontId="19" fillId="0" borderId="21" xfId="0" applyFont="1" applyBorder="1" applyAlignment="1">
      <alignment horizontal="center" vertical="center" wrapText="1"/>
    </xf>
    <xf numFmtId="37" fontId="19" fillId="0" borderId="25" xfId="0" applyNumberFormat="1" applyFont="1" applyBorder="1" applyAlignment="1">
      <alignment horizontal="center" vertical="center" wrapText="1"/>
    </xf>
    <xf numFmtId="169" fontId="11" fillId="0" borderId="38" xfId="0" applyNumberFormat="1" applyFont="1" applyBorder="1"/>
    <xf numFmtId="169" fontId="11" fillId="0" borderId="25" xfId="0" applyNumberFormat="1" applyFont="1" applyBorder="1"/>
    <xf numFmtId="2" fontId="11" fillId="0" borderId="38" xfId="0" quotePrefix="1" applyNumberFormat="1" applyFont="1" applyBorder="1" applyAlignment="1">
      <alignment horizontal="justify" vertical="top" wrapText="1"/>
    </xf>
    <xf numFmtId="2" fontId="11" fillId="0" borderId="21" xfId="0" applyNumberFormat="1" applyFont="1" applyBorder="1"/>
    <xf numFmtId="168" fontId="11" fillId="0" borderId="38" xfId="0" applyNumberFormat="1" applyFont="1" applyBorder="1"/>
    <xf numFmtId="166" fontId="19" fillId="0" borderId="38" xfId="1" applyFont="1" applyFill="1" applyBorder="1"/>
    <xf numFmtId="166" fontId="19" fillId="0" borderId="50" xfId="1" applyFont="1" applyBorder="1"/>
    <xf numFmtId="166" fontId="19" fillId="0" borderId="93" xfId="1" applyFont="1" applyBorder="1"/>
    <xf numFmtId="0" fontId="19" fillId="0" borderId="57" xfId="0" applyFont="1" applyBorder="1"/>
    <xf numFmtId="37" fontId="19" fillId="0" borderId="55" xfId="0" applyNumberFormat="1" applyFont="1" applyBorder="1" applyAlignment="1">
      <alignment horizontal="center" vertical="center" wrapText="1"/>
    </xf>
    <xf numFmtId="166" fontId="11" fillId="6" borderId="25" xfId="1" applyFont="1" applyFill="1" applyBorder="1"/>
    <xf numFmtId="0" fontId="11" fillId="0" borderId="26" xfId="0" applyFont="1" applyBorder="1" applyAlignment="1">
      <alignment horizontal="center"/>
    </xf>
    <xf numFmtId="169" fontId="11" fillId="6" borderId="25" xfId="0" applyNumberFormat="1" applyFont="1" applyFill="1" applyBorder="1"/>
    <xf numFmtId="2" fontId="11" fillId="0" borderId="0" xfId="0" quotePrefix="1" applyNumberFormat="1" applyFont="1"/>
    <xf numFmtId="166" fontId="11" fillId="0" borderId="25" xfId="1" applyFont="1" applyFill="1" applyBorder="1" applyAlignment="1">
      <alignment horizontal="right" vertical="center" wrapText="1"/>
    </xf>
    <xf numFmtId="166" fontId="11" fillId="0" borderId="25" xfId="1" applyFont="1" applyBorder="1" applyAlignment="1">
      <alignment horizontal="right" vertical="center" wrapText="1"/>
    </xf>
    <xf numFmtId="0" fontId="11" fillId="0" borderId="0" xfId="0" applyFont="1" applyAlignment="1">
      <alignment horizontal="left"/>
    </xf>
    <xf numFmtId="0" fontId="11" fillId="0" borderId="0" xfId="0" applyFont="1" applyAlignment="1">
      <alignment vertical="center"/>
    </xf>
    <xf numFmtId="0" fontId="11" fillId="0" borderId="38" xfId="0" applyFont="1" applyBorder="1" applyAlignment="1">
      <alignment horizontal="left" vertical="center"/>
    </xf>
    <xf numFmtId="0" fontId="11" fillId="0" borderId="25" xfId="0" applyFont="1" applyBorder="1" applyAlignment="1">
      <alignment horizontal="left"/>
    </xf>
    <xf numFmtId="2" fontId="20" fillId="0" borderId="0" xfId="0" applyNumberFormat="1" applyFont="1" applyAlignment="1">
      <alignment horizontal="left"/>
    </xf>
    <xf numFmtId="37" fontId="19" fillId="0" borderId="0" xfId="0" applyNumberFormat="1" applyFont="1" applyAlignment="1">
      <alignment horizontal="center" vertical="top"/>
    </xf>
    <xf numFmtId="0" fontId="11" fillId="0" borderId="0" xfId="0" applyFont="1" applyAlignment="1">
      <alignment horizontal="justify" vertical="top" wrapText="1"/>
    </xf>
    <xf numFmtId="0" fontId="19" fillId="0" borderId="28" xfId="0" applyFont="1" applyBorder="1" applyAlignment="1">
      <alignment horizontal="center" vertical="center"/>
    </xf>
    <xf numFmtId="0" fontId="19" fillId="0" borderId="55" xfId="0" applyFont="1" applyBorder="1" applyAlignment="1">
      <alignment horizontal="center" vertical="center"/>
    </xf>
    <xf numFmtId="0" fontId="0" fillId="0" borderId="59" xfId="0" applyBorder="1"/>
    <xf numFmtId="37" fontId="11" fillId="0" borderId="38" xfId="0" applyNumberFormat="1" applyFont="1" applyBorder="1"/>
    <xf numFmtId="0" fontId="11" fillId="0" borderId="21" xfId="0" applyFont="1" applyBorder="1" applyAlignment="1">
      <alignment horizontal="center" vertical="top"/>
    </xf>
    <xf numFmtId="0" fontId="11" fillId="0" borderId="0" xfId="0" applyFont="1" applyAlignment="1">
      <alignment horizontal="justify" vertical="justify"/>
    </xf>
    <xf numFmtId="166" fontId="11" fillId="0" borderId="25" xfId="0" applyNumberFormat="1" applyFont="1" applyBorder="1"/>
    <xf numFmtId="0" fontId="11" fillId="0" borderId="38" xfId="0" applyFont="1" applyBorder="1" applyAlignment="1">
      <alignment horizontal="justify" vertical="top" wrapText="1"/>
    </xf>
    <xf numFmtId="166" fontId="11" fillId="0" borderId="38" xfId="0" applyNumberFormat="1" applyFont="1" applyBorder="1"/>
    <xf numFmtId="0" fontId="11" fillId="0" borderId="60" xfId="0" applyFont="1" applyBorder="1" applyAlignment="1">
      <alignment horizontal="center" vertical="top"/>
    </xf>
    <xf numFmtId="0" fontId="11" fillId="0" borderId="16" xfId="0" applyFont="1" applyBorder="1" applyAlignment="1">
      <alignment horizontal="justify" vertical="top" wrapText="1"/>
    </xf>
    <xf numFmtId="166" fontId="11" fillId="0" borderId="30" xfId="0" applyNumberFormat="1" applyFont="1" applyBorder="1"/>
    <xf numFmtId="0" fontId="11" fillId="0" borderId="0" xfId="0" applyFont="1" applyAlignment="1">
      <alignment horizontal="center" vertical="top"/>
    </xf>
    <xf numFmtId="166" fontId="11" fillId="0" borderId="0" xfId="0" applyNumberFormat="1" applyFont="1"/>
    <xf numFmtId="0" fontId="19" fillId="0" borderId="23" xfId="0" applyFont="1" applyBorder="1" applyAlignment="1">
      <alignment horizontal="center" vertical="center" wrapText="1"/>
    </xf>
    <xf numFmtId="0" fontId="19" fillId="0" borderId="64" xfId="0" applyFont="1" applyBorder="1" applyAlignment="1">
      <alignment horizontal="center" vertical="center"/>
    </xf>
    <xf numFmtId="0" fontId="19" fillId="0" borderId="65" xfId="0" applyFont="1" applyBorder="1" applyAlignment="1">
      <alignment horizontal="center" vertical="center"/>
    </xf>
    <xf numFmtId="37" fontId="19" fillId="0" borderId="26" xfId="0" applyNumberFormat="1" applyFont="1" applyBorder="1" applyAlignment="1">
      <alignment horizontal="center" vertical="center" wrapText="1"/>
    </xf>
    <xf numFmtId="37" fontId="19" fillId="0" borderId="28" xfId="0" applyNumberFormat="1" applyFont="1" applyBorder="1" applyAlignment="1">
      <alignment horizontal="center" vertical="center"/>
    </xf>
    <xf numFmtId="37" fontId="19" fillId="0" borderId="55" xfId="0" applyNumberFormat="1" applyFont="1" applyBorder="1" applyAlignment="1">
      <alignment horizontal="center" vertical="center"/>
    </xf>
    <xf numFmtId="0" fontId="19" fillId="0" borderId="30" xfId="0" applyFont="1" applyBorder="1" applyAlignment="1">
      <alignment horizontal="center" vertical="center" wrapText="1"/>
    </xf>
    <xf numFmtId="0" fontId="19" fillId="0" borderId="60" xfId="0" applyFont="1" applyBorder="1" applyAlignment="1">
      <alignment horizontal="center" vertical="center"/>
    </xf>
    <xf numFmtId="0" fontId="19" fillId="0" borderId="57" xfId="0" applyFont="1" applyBorder="1" applyAlignment="1">
      <alignment horizontal="center" vertical="center"/>
    </xf>
    <xf numFmtId="0" fontId="11" fillId="0" borderId="29" xfId="0" applyFont="1" applyBorder="1" applyAlignment="1">
      <alignment horizontal="right"/>
    </xf>
    <xf numFmtId="0" fontId="11" fillId="0" borderId="55" xfId="0" applyFont="1" applyBorder="1"/>
    <xf numFmtId="0" fontId="11" fillId="0" borderId="29" xfId="0" applyFont="1" applyBorder="1"/>
    <xf numFmtId="0" fontId="19" fillId="0" borderId="26" xfId="0" applyFont="1" applyBorder="1"/>
    <xf numFmtId="166" fontId="0" fillId="0" borderId="0" xfId="0" applyNumberFormat="1"/>
    <xf numFmtId="37" fontId="19" fillId="0" borderId="23" xfId="0" applyNumberFormat="1" applyFont="1" applyBorder="1" applyAlignment="1">
      <alignment horizontal="center" vertical="center" wrapText="1"/>
    </xf>
    <xf numFmtId="37" fontId="19" fillId="0" borderId="28" xfId="0" applyNumberFormat="1" applyFont="1" applyBorder="1" applyAlignment="1">
      <alignment horizontal="center" vertical="center" wrapText="1"/>
    </xf>
    <xf numFmtId="37" fontId="19" fillId="0" borderId="55" xfId="0" applyNumberFormat="1" applyFont="1" applyBorder="1" applyAlignment="1">
      <alignment horizontal="center" vertical="center" wrapText="1"/>
    </xf>
    <xf numFmtId="0" fontId="19" fillId="0" borderId="29" xfId="0" applyFont="1" applyBorder="1" applyAlignment="1">
      <alignment vertical="center" wrapText="1"/>
    </xf>
    <xf numFmtId="37" fontId="19" fillId="0" borderId="30" xfId="0" applyNumberFormat="1" applyFont="1" applyBorder="1" applyAlignment="1">
      <alignment horizontal="center" vertical="center" wrapText="1"/>
    </xf>
    <xf numFmtId="0" fontId="19" fillId="0" borderId="29" xfId="0" applyFont="1" applyBorder="1" applyAlignment="1">
      <alignment horizontal="left" indent="1"/>
    </xf>
    <xf numFmtId="0" fontId="11" fillId="0" borderId="29" xfId="0" applyFont="1" applyBorder="1" applyAlignment="1">
      <alignment horizontal="left" indent="2"/>
    </xf>
    <xf numFmtId="17" fontId="0" fillId="0" borderId="0" xfId="0" applyNumberFormat="1"/>
    <xf numFmtId="166" fontId="0" fillId="0" borderId="0" xfId="1" applyFont="1"/>
    <xf numFmtId="0" fontId="19" fillId="0" borderId="29" xfId="0" applyFont="1" applyBorder="1"/>
    <xf numFmtId="37" fontId="19" fillId="0" borderId="0" xfId="0" applyNumberFormat="1" applyFont="1" applyAlignment="1">
      <alignment horizontal="center" vertical="top" wrapText="1"/>
    </xf>
    <xf numFmtId="0" fontId="11" fillId="0" borderId="0" xfId="0" applyFont="1" applyAlignment="1">
      <alignment horizontal="left" vertical="top" wrapText="1"/>
    </xf>
    <xf numFmtId="2" fontId="20" fillId="0" borderId="0" xfId="0" applyNumberFormat="1" applyFont="1" applyAlignment="1">
      <alignment horizontal="justify" vertical="top" wrapText="1"/>
    </xf>
    <xf numFmtId="3" fontId="19" fillId="0" borderId="0" xfId="4" applyNumberFormat="1" applyFont="1" applyFill="1" applyBorder="1" applyAlignment="1" applyProtection="1">
      <alignment horizontal="right"/>
    </xf>
    <xf numFmtId="3" fontId="19" fillId="0" borderId="0" xfId="4" applyNumberFormat="1" applyFont="1" applyFill="1" applyBorder="1" applyAlignment="1" applyProtection="1"/>
    <xf numFmtId="2" fontId="19" fillId="0" borderId="29" xfId="0" applyNumberFormat="1" applyFont="1" applyBorder="1"/>
    <xf numFmtId="0" fontId="19" fillId="0" borderId="29" xfId="0" applyFont="1" applyBorder="1" applyAlignment="1">
      <alignment horizontal="center"/>
    </xf>
    <xf numFmtId="49" fontId="25" fillId="0" borderId="29" xfId="5" applyNumberFormat="1" applyFont="1" applyBorder="1" applyAlignment="1">
      <alignment horizontal="left" vertical="top" indent="5"/>
    </xf>
    <xf numFmtId="166" fontId="26" fillId="0" borderId="29" xfId="1" applyFont="1" applyBorder="1" applyAlignment="1">
      <alignment horizontal="right" vertical="top"/>
    </xf>
    <xf numFmtId="166" fontId="19" fillId="0" borderId="29" xfId="0" applyNumberFormat="1" applyFont="1" applyBorder="1" applyAlignment="1">
      <alignment horizontal="center"/>
    </xf>
    <xf numFmtId="0" fontId="11" fillId="0" borderId="29" xfId="0" applyFont="1" applyBorder="1" applyAlignment="1">
      <alignment horizontal="center" vertical="top"/>
    </xf>
    <xf numFmtId="2" fontId="11" fillId="0" borderId="29" xfId="0" applyNumberFormat="1" applyFont="1" applyBorder="1" applyAlignment="1">
      <alignment horizontal="justify" vertical="top" wrapText="1"/>
    </xf>
    <xf numFmtId="166" fontId="19" fillId="0" borderId="29" xfId="0" applyNumberFormat="1" applyFont="1" applyBorder="1"/>
    <xf numFmtId="166" fontId="19" fillId="0" borderId="29" xfId="1" applyFont="1" applyBorder="1" applyAlignment="1">
      <alignment horizontal="center" vertical="center" wrapText="1"/>
    </xf>
    <xf numFmtId="49" fontId="3" fillId="0" borderId="29" xfId="5" applyNumberFormat="1" applyFont="1" applyBorder="1" applyAlignment="1">
      <alignment horizontal="left" vertical="top" indent="3"/>
    </xf>
    <xf numFmtId="166" fontId="27" fillId="0" borderId="29" xfId="1" applyFont="1" applyBorder="1" applyAlignment="1">
      <alignment horizontal="right" vertical="top"/>
    </xf>
    <xf numFmtId="166" fontId="19" fillId="0" borderId="29" xfId="0" applyNumberFormat="1" applyFont="1" applyBorder="1" applyAlignment="1">
      <alignment horizontal="center" vertical="center"/>
    </xf>
    <xf numFmtId="166" fontId="19" fillId="0" borderId="29" xfId="1" applyFont="1" applyBorder="1"/>
    <xf numFmtId="49" fontId="11" fillId="0" borderId="29" xfId="0" applyNumberFormat="1" applyFont="1" applyBorder="1"/>
    <xf numFmtId="166" fontId="19" fillId="0" borderId="0" xfId="0" applyNumberFormat="1" applyFont="1"/>
    <xf numFmtId="0" fontId="28" fillId="0" borderId="0" xfId="5" applyFont="1" applyAlignment="1">
      <alignment vertical="top"/>
    </xf>
    <xf numFmtId="0" fontId="0" fillId="6" borderId="0" xfId="0" applyFill="1"/>
    <xf numFmtId="49" fontId="3" fillId="0" borderId="16" xfId="5" applyNumberFormat="1" applyFont="1" applyBorder="1" applyAlignment="1">
      <alignment vertical="top"/>
    </xf>
    <xf numFmtId="166" fontId="3" fillId="0" borderId="16" xfId="5" applyNumberFormat="1" applyFont="1" applyBorder="1" applyAlignment="1">
      <alignment vertical="top"/>
    </xf>
    <xf numFmtId="49" fontId="28" fillId="0" borderId="59" xfId="5" applyNumberFormat="1" applyFont="1" applyBorder="1" applyAlignment="1">
      <alignment vertical="top"/>
    </xf>
    <xf numFmtId="43" fontId="28" fillId="0" borderId="59" xfId="5" applyNumberFormat="1" applyFont="1" applyBorder="1" applyAlignment="1">
      <alignment vertical="top"/>
    </xf>
    <xf numFmtId="49" fontId="3" fillId="0" borderId="0" xfId="5" applyNumberFormat="1" applyFont="1" applyAlignment="1">
      <alignment vertical="top"/>
    </xf>
    <xf numFmtId="49" fontId="29" fillId="0" borderId="59" xfId="5" applyNumberFormat="1" applyFont="1" applyBorder="1" applyAlignment="1">
      <alignment horizontal="left" vertical="top" indent="2"/>
    </xf>
    <xf numFmtId="49" fontId="30" fillId="0" borderId="64" xfId="5" applyNumberFormat="1" applyFont="1" applyBorder="1" applyAlignment="1">
      <alignment vertical="top" wrapText="1"/>
    </xf>
    <xf numFmtId="49" fontId="30" fillId="0" borderId="65" xfId="5" applyNumberFormat="1" applyFont="1" applyBorder="1" applyAlignment="1">
      <alignment vertical="top" wrapText="1"/>
    </xf>
    <xf numFmtId="49" fontId="30" fillId="0" borderId="64" xfId="5" applyNumberFormat="1" applyFont="1" applyBorder="1" applyAlignment="1">
      <alignment vertical="top"/>
    </xf>
    <xf numFmtId="0" fontId="30" fillId="0" borderId="59" xfId="5" applyFont="1" applyBorder="1" applyAlignment="1">
      <alignment vertical="top" wrapText="1"/>
    </xf>
    <xf numFmtId="49" fontId="30" fillId="6" borderId="64" xfId="5" applyNumberFormat="1" applyFont="1" applyFill="1" applyBorder="1" applyAlignment="1">
      <alignment vertical="top"/>
    </xf>
    <xf numFmtId="0" fontId="30" fillId="6" borderId="59" xfId="5" applyFont="1" applyFill="1" applyBorder="1" applyAlignment="1">
      <alignment vertical="top" wrapText="1"/>
    </xf>
    <xf numFmtId="49" fontId="29" fillId="0" borderId="21" xfId="5" applyNumberFormat="1" applyFont="1" applyBorder="1" applyAlignment="1">
      <alignment horizontal="left" vertical="top" indent="2"/>
    </xf>
    <xf numFmtId="49" fontId="31" fillId="0" borderId="60" xfId="5" applyNumberFormat="1" applyFont="1" applyBorder="1" applyAlignment="1">
      <alignment vertical="top" wrapText="1"/>
    </xf>
    <xf numFmtId="49" fontId="31" fillId="0" borderId="57" xfId="5" applyNumberFormat="1" applyFont="1" applyBorder="1" applyAlignment="1">
      <alignment vertical="top" wrapText="1"/>
    </xf>
    <xf numFmtId="0" fontId="31" fillId="0" borderId="16" xfId="5" applyFont="1" applyBorder="1" applyAlignment="1">
      <alignment vertical="top" wrapText="1"/>
    </xf>
    <xf numFmtId="49" fontId="31" fillId="6" borderId="60" xfId="5" applyNumberFormat="1" applyFont="1" applyFill="1" applyBorder="1" applyAlignment="1">
      <alignment vertical="top" wrapText="1"/>
    </xf>
    <xf numFmtId="0" fontId="31" fillId="6" borderId="16" xfId="5" applyFont="1" applyFill="1" applyBorder="1" applyAlignment="1">
      <alignment vertical="top" wrapText="1"/>
    </xf>
    <xf numFmtId="49" fontId="30" fillId="0" borderId="26" xfId="5" applyNumberFormat="1" applyFont="1" applyBorder="1" applyAlignment="1">
      <alignment vertical="top"/>
    </xf>
    <xf numFmtId="49" fontId="30" fillId="0" borderId="55" xfId="5" applyNumberFormat="1" applyFont="1" applyBorder="1" applyAlignment="1">
      <alignment vertical="top"/>
    </xf>
    <xf numFmtId="49" fontId="30" fillId="0" borderId="59" xfId="5" applyNumberFormat="1" applyFont="1" applyBorder="1" applyAlignment="1">
      <alignment vertical="top"/>
    </xf>
    <xf numFmtId="49" fontId="30" fillId="6" borderId="59" xfId="5" applyNumberFormat="1" applyFont="1" applyFill="1" applyBorder="1" applyAlignment="1">
      <alignment vertical="top"/>
    </xf>
    <xf numFmtId="49" fontId="29" fillId="0" borderId="60" xfId="5" applyNumberFormat="1" applyFont="1" applyBorder="1" applyAlignment="1">
      <alignment horizontal="left" vertical="top" indent="2"/>
    </xf>
    <xf numFmtId="49" fontId="31" fillId="0" borderId="29" xfId="5" applyNumberFormat="1" applyFont="1" applyBorder="1" applyAlignment="1">
      <alignment horizontal="center" vertical="top"/>
    </xf>
    <xf numFmtId="49" fontId="31" fillId="6" borderId="29" xfId="5" applyNumberFormat="1" applyFont="1" applyFill="1" applyBorder="1" applyAlignment="1">
      <alignment horizontal="center" vertical="top"/>
    </xf>
    <xf numFmtId="49" fontId="29" fillId="0" borderId="0" xfId="5" applyNumberFormat="1" applyFont="1" applyAlignment="1">
      <alignment vertical="top"/>
    </xf>
    <xf numFmtId="175" fontId="31" fillId="0" borderId="59" xfId="5" applyNumberFormat="1" applyFont="1" applyBorder="1" applyAlignment="1">
      <alignment horizontal="right" vertical="top"/>
    </xf>
    <xf numFmtId="175" fontId="31" fillId="6" borderId="59" xfId="5" applyNumberFormat="1" applyFont="1" applyFill="1" applyBorder="1" applyAlignment="1">
      <alignment horizontal="right" vertical="top"/>
    </xf>
    <xf numFmtId="49" fontId="32" fillId="0" borderId="0" xfId="5" applyNumberFormat="1" applyFont="1" applyAlignment="1">
      <alignment horizontal="left" vertical="top" indent="2"/>
    </xf>
    <xf numFmtId="166" fontId="11" fillId="0" borderId="0" xfId="1" applyFont="1" applyFill="1" applyBorder="1" applyAlignment="1">
      <alignment horizontal="right" vertical="top"/>
    </xf>
    <xf numFmtId="166" fontId="11" fillId="6" borderId="0" xfId="1" applyFont="1" applyFill="1" applyBorder="1" applyAlignment="1">
      <alignment horizontal="right" vertical="top"/>
    </xf>
    <xf numFmtId="49" fontId="33" fillId="0" borderId="0" xfId="5" applyNumberFormat="1" applyFont="1" applyAlignment="1">
      <alignment horizontal="left" vertical="top" indent="4"/>
    </xf>
    <xf numFmtId="166" fontId="31" fillId="0" borderId="0" xfId="1" applyFont="1" applyFill="1" applyBorder="1" applyAlignment="1">
      <alignment horizontal="right" vertical="top"/>
    </xf>
    <xf numFmtId="4" fontId="30" fillId="0" borderId="0" xfId="1" applyNumberFormat="1" applyFont="1" applyFill="1" applyBorder="1" applyAlignment="1">
      <alignment horizontal="right" vertical="top"/>
    </xf>
    <xf numFmtId="166" fontId="31" fillId="6" borderId="0" xfId="1" applyFont="1" applyFill="1" applyBorder="1" applyAlignment="1">
      <alignment horizontal="right" vertical="top"/>
    </xf>
    <xf numFmtId="49" fontId="33" fillId="0" borderId="0" xfId="5" applyNumberFormat="1" applyFont="1" applyAlignment="1">
      <alignment horizontal="left" vertical="top" indent="2"/>
    </xf>
    <xf numFmtId="166" fontId="34" fillId="0" borderId="0" xfId="1" applyFont="1" applyFill="1" applyBorder="1" applyAlignment="1">
      <alignment horizontal="right" vertical="top"/>
    </xf>
    <xf numFmtId="166" fontId="30" fillId="0" borderId="0" xfId="1" applyFont="1" applyFill="1" applyBorder="1" applyAlignment="1">
      <alignment horizontal="right" vertical="top"/>
    </xf>
    <xf numFmtId="166" fontId="35" fillId="0" borderId="0" xfId="1" applyFont="1" applyFill="1" applyBorder="1" applyAlignment="1">
      <alignment horizontal="right" vertical="top"/>
    </xf>
    <xf numFmtId="49" fontId="33" fillId="0" borderId="0" xfId="5" applyNumberFormat="1" applyFont="1" applyAlignment="1">
      <alignment horizontal="left" vertical="top" indent="3"/>
    </xf>
    <xf numFmtId="166" fontId="34" fillId="0" borderId="0" xfId="1" applyFont="1" applyFill="1" applyAlignment="1">
      <alignment horizontal="right" vertical="top"/>
    </xf>
    <xf numFmtId="49" fontId="29" fillId="0" borderId="0" xfId="5" applyNumberFormat="1" applyFont="1" applyAlignment="1">
      <alignment horizontal="left" vertical="top" indent="2"/>
    </xf>
    <xf numFmtId="49" fontId="32" fillId="0" borderId="0" xfId="5" applyNumberFormat="1" applyFont="1" applyAlignment="1">
      <alignment horizontal="left" vertical="top" indent="4"/>
    </xf>
    <xf numFmtId="166" fontId="31" fillId="0" borderId="0" xfId="1" applyFont="1" applyFill="1" applyAlignment="1">
      <alignment horizontal="right" vertical="top"/>
    </xf>
    <xf numFmtId="166" fontId="35" fillId="0" borderId="0" xfId="1" applyFont="1" applyFill="1" applyAlignment="1">
      <alignment horizontal="right" vertical="top"/>
    </xf>
    <xf numFmtId="0" fontId="31" fillId="0" borderId="0" xfId="0" applyFont="1"/>
    <xf numFmtId="49" fontId="32" fillId="0" borderId="0" xfId="5" applyNumberFormat="1" applyFont="1" applyAlignment="1">
      <alignment horizontal="left" vertical="top" indent="3"/>
    </xf>
    <xf numFmtId="166" fontId="30" fillId="6" borderId="0" xfId="1" applyFont="1" applyFill="1" applyBorder="1" applyAlignment="1">
      <alignment horizontal="right" vertical="top"/>
    </xf>
    <xf numFmtId="49" fontId="29" fillId="0" borderId="0" xfId="5" applyNumberFormat="1" applyFont="1" applyAlignment="1">
      <alignment vertical="top" wrapText="1"/>
    </xf>
    <xf numFmtId="49" fontId="36" fillId="0" borderId="0" xfId="5" applyNumberFormat="1" applyFont="1" applyAlignment="1">
      <alignment horizontal="left" vertical="top" indent="2"/>
    </xf>
    <xf numFmtId="0" fontId="31" fillId="6" borderId="0" xfId="0" applyFont="1" applyFill="1"/>
    <xf numFmtId="49" fontId="33" fillId="0" borderId="0" xfId="5" applyNumberFormat="1" applyFont="1" applyAlignment="1">
      <alignment horizontal="left" vertical="top" indent="5"/>
    </xf>
    <xf numFmtId="49" fontId="29" fillId="0" borderId="28" xfId="5" applyNumberFormat="1" applyFont="1" applyBorder="1" applyAlignment="1">
      <alignment horizontal="left" vertical="top" indent="2"/>
    </xf>
    <xf numFmtId="166" fontId="30" fillId="0" borderId="28" xfId="1" applyFont="1" applyFill="1" applyBorder="1" applyAlignment="1">
      <alignment horizontal="right" vertical="top"/>
    </xf>
    <xf numFmtId="166" fontId="30" fillId="0" borderId="59" xfId="1" applyFont="1" applyFill="1" applyBorder="1" applyAlignment="1">
      <alignment horizontal="right" vertical="top"/>
    </xf>
    <xf numFmtId="43" fontId="0" fillId="0" borderId="0" xfId="0" applyNumberFormat="1"/>
    <xf numFmtId="166" fontId="0" fillId="0" borderId="0" xfId="1" applyFont="1" applyFill="1"/>
  </cellXfs>
  <cellStyles count="6">
    <cellStyle name="Comma" xfId="1" builtinId="3"/>
    <cellStyle name="Comma 10 2" xfId="4" xr:uid="{C7899E67-D90D-442A-BE25-5E2E4514C157}"/>
    <cellStyle name="Normal" xfId="0" builtinId="0"/>
    <cellStyle name="Normal 3 10" xfId="5" xr:uid="{1D25E7A7-060A-4CFC-A48A-E23E81F85593}"/>
    <cellStyle name="Normal 30" xfId="3" xr:uid="{7151E65D-2116-4DFB-A0AF-C1275819E6AE}"/>
    <cellStyle name="Percent" xfId="2"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7620</xdr:rowOff>
    </xdr:from>
    <xdr:to>
      <xdr:col>8</xdr:col>
      <xdr:colOff>350520</xdr:colOff>
      <xdr:row>25</xdr:row>
      <xdr:rowOff>99060</xdr:rowOff>
    </xdr:to>
    <xdr:sp macro="" textlink="">
      <xdr:nvSpPr>
        <xdr:cNvPr id="2" name="Rectangle 1">
          <a:extLst>
            <a:ext uri="{FF2B5EF4-FFF2-40B4-BE49-F238E27FC236}">
              <a16:creationId xmlns:a16="http://schemas.microsoft.com/office/drawing/2014/main" id="{A0BA29B6-2E6C-45E8-8A2C-063D7F406CAE}"/>
            </a:ext>
          </a:extLst>
        </xdr:cNvPr>
        <xdr:cNvSpPr>
          <a:spLocks noChangeArrowheads="1"/>
        </xdr:cNvSpPr>
      </xdr:nvSpPr>
      <xdr:spPr bwMode="auto">
        <a:xfrm>
          <a:off x="0" y="3878580"/>
          <a:ext cx="5227320" cy="701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22</xdr:row>
      <xdr:rowOff>0</xdr:rowOff>
    </xdr:from>
    <xdr:to>
      <xdr:col>1</xdr:col>
      <xdr:colOff>190500</xdr:colOff>
      <xdr:row>23</xdr:row>
      <xdr:rowOff>83820</xdr:rowOff>
    </xdr:to>
    <xdr:sp macro="" textlink="">
      <xdr:nvSpPr>
        <xdr:cNvPr id="3" name="Rectangle 2">
          <a:extLst>
            <a:ext uri="{FF2B5EF4-FFF2-40B4-BE49-F238E27FC236}">
              <a16:creationId xmlns:a16="http://schemas.microsoft.com/office/drawing/2014/main" id="{B771FA2F-DC22-4AC1-8916-09B5D29DE8BA}"/>
            </a:ext>
          </a:extLst>
        </xdr:cNvPr>
        <xdr:cNvSpPr>
          <a:spLocks noChangeArrowheads="1"/>
        </xdr:cNvSpPr>
      </xdr:nvSpPr>
      <xdr:spPr bwMode="auto">
        <a:xfrm>
          <a:off x="609600" y="3870960"/>
          <a:ext cx="19050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37</xdr:row>
      <xdr:rowOff>91440</xdr:rowOff>
    </xdr:from>
    <xdr:to>
      <xdr:col>0</xdr:col>
      <xdr:colOff>190500</xdr:colOff>
      <xdr:row>39</xdr:row>
      <xdr:rowOff>7620</xdr:rowOff>
    </xdr:to>
    <xdr:sp macro="" textlink="">
      <xdr:nvSpPr>
        <xdr:cNvPr id="4" name="Rectangle 3">
          <a:extLst>
            <a:ext uri="{FF2B5EF4-FFF2-40B4-BE49-F238E27FC236}">
              <a16:creationId xmlns:a16="http://schemas.microsoft.com/office/drawing/2014/main" id="{B1E32CCB-A138-47E5-ACC3-90A253DF039E}"/>
            </a:ext>
          </a:extLst>
        </xdr:cNvPr>
        <xdr:cNvSpPr>
          <a:spLocks noChangeArrowheads="1"/>
        </xdr:cNvSpPr>
      </xdr:nvSpPr>
      <xdr:spPr bwMode="auto">
        <a:xfrm>
          <a:off x="0" y="7223760"/>
          <a:ext cx="19050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30480</xdr:colOff>
      <xdr:row>5</xdr:row>
      <xdr:rowOff>0</xdr:rowOff>
    </xdr:from>
    <xdr:to>
      <xdr:col>10</xdr:col>
      <xdr:colOff>579120</xdr:colOff>
      <xdr:row>16</xdr:row>
      <xdr:rowOff>7620</xdr:rowOff>
    </xdr:to>
    <xdr:sp macro="" textlink="">
      <xdr:nvSpPr>
        <xdr:cNvPr id="5" name="WordArt 11">
          <a:extLst>
            <a:ext uri="{FF2B5EF4-FFF2-40B4-BE49-F238E27FC236}">
              <a16:creationId xmlns:a16="http://schemas.microsoft.com/office/drawing/2014/main" id="{F11E0B0B-8DD0-4979-9AD3-0B74CC2216BE}"/>
            </a:ext>
          </a:extLst>
        </xdr:cNvPr>
        <xdr:cNvSpPr>
          <a:spLocks noChangeArrowheads="1" noChangeShapeType="1" noTextEdit="1"/>
        </xdr:cNvSpPr>
      </xdr:nvSpPr>
      <xdr:spPr bwMode="auto">
        <a:xfrm>
          <a:off x="30480" y="1021080"/>
          <a:ext cx="6644640" cy="185166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634"/>
            </a:avLst>
          </a:prstTxWarp>
        </a:bodyPr>
        <a:lstStyle/>
        <a:p>
          <a:pPr algn="l" rtl="0">
            <a:buNone/>
          </a:pPr>
          <a:endParaRPr lang="en-IN" sz="1100" u="sng" strike="sngStrike" cap="small" spc="0">
            <a:ln>
              <a:noFill/>
            </a:ln>
            <a:noFill/>
            <a:latin typeface="+mn-lt"/>
            <a:ea typeface="+mn-lt"/>
            <a:cs typeface="+mn-lt"/>
          </a:endParaRPr>
        </a:p>
      </xdr:txBody>
    </xdr:sp>
    <xdr:clientData/>
  </xdr:twoCellAnchor>
  <xdr:twoCellAnchor editAs="oneCell">
    <xdr:from>
      <xdr:col>1</xdr:col>
      <xdr:colOff>22860</xdr:colOff>
      <xdr:row>21</xdr:row>
      <xdr:rowOff>0</xdr:rowOff>
    </xdr:from>
    <xdr:to>
      <xdr:col>1</xdr:col>
      <xdr:colOff>213360</xdr:colOff>
      <xdr:row>22</xdr:row>
      <xdr:rowOff>91440</xdr:rowOff>
    </xdr:to>
    <xdr:sp macro="" textlink="">
      <xdr:nvSpPr>
        <xdr:cNvPr id="6" name="Rectangle 2">
          <a:extLst>
            <a:ext uri="{FF2B5EF4-FFF2-40B4-BE49-F238E27FC236}">
              <a16:creationId xmlns:a16="http://schemas.microsoft.com/office/drawing/2014/main" id="{78E017E4-2DA6-4274-8080-A366B21D9C1C}"/>
            </a:ext>
          </a:extLst>
        </xdr:cNvPr>
        <xdr:cNvSpPr>
          <a:spLocks noChangeArrowheads="1"/>
        </xdr:cNvSpPr>
      </xdr:nvSpPr>
      <xdr:spPr bwMode="auto">
        <a:xfrm>
          <a:off x="632460" y="3703320"/>
          <a:ext cx="190500" cy="259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190500</xdr:colOff>
      <xdr:row>25</xdr:row>
      <xdr:rowOff>83820</xdr:rowOff>
    </xdr:to>
    <xdr:sp macro="" textlink="">
      <xdr:nvSpPr>
        <xdr:cNvPr id="7" name="Rectangle 2">
          <a:extLst>
            <a:ext uri="{FF2B5EF4-FFF2-40B4-BE49-F238E27FC236}">
              <a16:creationId xmlns:a16="http://schemas.microsoft.com/office/drawing/2014/main" id="{28600DEF-630E-43E2-AAEE-DE436E7CD9E0}"/>
            </a:ext>
          </a:extLst>
        </xdr:cNvPr>
        <xdr:cNvSpPr>
          <a:spLocks noChangeArrowheads="1"/>
        </xdr:cNvSpPr>
      </xdr:nvSpPr>
      <xdr:spPr bwMode="auto">
        <a:xfrm>
          <a:off x="609600" y="4259580"/>
          <a:ext cx="1905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22</xdr:row>
      <xdr:rowOff>15240</xdr:rowOff>
    </xdr:from>
    <xdr:to>
      <xdr:col>8</xdr:col>
      <xdr:colOff>358140</xdr:colOff>
      <xdr:row>25</xdr:row>
      <xdr:rowOff>106680</xdr:rowOff>
    </xdr:to>
    <xdr:sp macro="" textlink="">
      <xdr:nvSpPr>
        <xdr:cNvPr id="8" name="Rectangle 1">
          <a:extLst>
            <a:ext uri="{FF2B5EF4-FFF2-40B4-BE49-F238E27FC236}">
              <a16:creationId xmlns:a16="http://schemas.microsoft.com/office/drawing/2014/main" id="{182304FB-3F44-4AB9-91E4-222A30206E80}"/>
            </a:ext>
          </a:extLst>
        </xdr:cNvPr>
        <xdr:cNvSpPr>
          <a:spLocks noChangeArrowheads="1"/>
        </xdr:cNvSpPr>
      </xdr:nvSpPr>
      <xdr:spPr bwMode="auto">
        <a:xfrm>
          <a:off x="0" y="3886200"/>
          <a:ext cx="5234940" cy="701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22</xdr:row>
      <xdr:rowOff>0</xdr:rowOff>
    </xdr:from>
    <xdr:to>
      <xdr:col>1</xdr:col>
      <xdr:colOff>190500</xdr:colOff>
      <xdr:row>23</xdr:row>
      <xdr:rowOff>83820</xdr:rowOff>
    </xdr:to>
    <xdr:sp macro="" textlink="">
      <xdr:nvSpPr>
        <xdr:cNvPr id="9" name="Rectangle 2">
          <a:extLst>
            <a:ext uri="{FF2B5EF4-FFF2-40B4-BE49-F238E27FC236}">
              <a16:creationId xmlns:a16="http://schemas.microsoft.com/office/drawing/2014/main" id="{037EB168-5B8F-4C73-9481-82F4578F7EC4}"/>
            </a:ext>
          </a:extLst>
        </xdr:cNvPr>
        <xdr:cNvSpPr>
          <a:spLocks noChangeArrowheads="1"/>
        </xdr:cNvSpPr>
      </xdr:nvSpPr>
      <xdr:spPr bwMode="auto">
        <a:xfrm>
          <a:off x="609600" y="3870960"/>
          <a:ext cx="19050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37</xdr:row>
      <xdr:rowOff>91440</xdr:rowOff>
    </xdr:from>
    <xdr:to>
      <xdr:col>0</xdr:col>
      <xdr:colOff>190500</xdr:colOff>
      <xdr:row>39</xdr:row>
      <xdr:rowOff>7620</xdr:rowOff>
    </xdr:to>
    <xdr:sp macro="" textlink="">
      <xdr:nvSpPr>
        <xdr:cNvPr id="10" name="Rectangle 3">
          <a:extLst>
            <a:ext uri="{FF2B5EF4-FFF2-40B4-BE49-F238E27FC236}">
              <a16:creationId xmlns:a16="http://schemas.microsoft.com/office/drawing/2014/main" id="{69081C23-E5FB-4B83-8674-95E176C8CC36}"/>
            </a:ext>
          </a:extLst>
        </xdr:cNvPr>
        <xdr:cNvSpPr>
          <a:spLocks noChangeArrowheads="1"/>
        </xdr:cNvSpPr>
      </xdr:nvSpPr>
      <xdr:spPr bwMode="auto">
        <a:xfrm>
          <a:off x="0" y="7223760"/>
          <a:ext cx="19050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30480</xdr:colOff>
      <xdr:row>5</xdr:row>
      <xdr:rowOff>0</xdr:rowOff>
    </xdr:from>
    <xdr:to>
      <xdr:col>10</xdr:col>
      <xdr:colOff>586740</xdr:colOff>
      <xdr:row>16</xdr:row>
      <xdr:rowOff>15240</xdr:rowOff>
    </xdr:to>
    <xdr:sp macro="" textlink="">
      <xdr:nvSpPr>
        <xdr:cNvPr id="11" name="WordArt 11">
          <a:extLst>
            <a:ext uri="{FF2B5EF4-FFF2-40B4-BE49-F238E27FC236}">
              <a16:creationId xmlns:a16="http://schemas.microsoft.com/office/drawing/2014/main" id="{45BD60E6-73D6-4F3E-945A-B21F9879E8CB}"/>
            </a:ext>
          </a:extLst>
        </xdr:cNvPr>
        <xdr:cNvSpPr>
          <a:spLocks noChangeArrowheads="1" noChangeShapeType="1" noTextEdit="1"/>
        </xdr:cNvSpPr>
      </xdr:nvSpPr>
      <xdr:spPr bwMode="auto">
        <a:xfrm>
          <a:off x="30480" y="1021080"/>
          <a:ext cx="6652260" cy="185928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634"/>
            </a:avLst>
          </a:prstTxWarp>
        </a:bodyPr>
        <a:lstStyle/>
        <a:p>
          <a:pPr algn="l" rtl="0">
            <a:buNone/>
          </a:pPr>
          <a:endParaRPr lang="en-IN" sz="1100" u="sng" strike="sngStrike" cap="small" spc="0">
            <a:ln>
              <a:noFill/>
            </a:ln>
            <a:noFill/>
            <a:latin typeface="+mn-lt"/>
            <a:ea typeface="+mn-lt"/>
            <a:cs typeface="+mn-lt"/>
          </a:endParaRPr>
        </a:p>
      </xdr:txBody>
    </xdr:sp>
    <xdr:clientData/>
  </xdr:twoCellAnchor>
  <xdr:twoCellAnchor editAs="oneCell">
    <xdr:from>
      <xdr:col>1</xdr:col>
      <xdr:colOff>22860</xdr:colOff>
      <xdr:row>21</xdr:row>
      <xdr:rowOff>0</xdr:rowOff>
    </xdr:from>
    <xdr:to>
      <xdr:col>1</xdr:col>
      <xdr:colOff>213360</xdr:colOff>
      <xdr:row>22</xdr:row>
      <xdr:rowOff>91440</xdr:rowOff>
    </xdr:to>
    <xdr:sp macro="" textlink="">
      <xdr:nvSpPr>
        <xdr:cNvPr id="12" name="Rectangle 2">
          <a:extLst>
            <a:ext uri="{FF2B5EF4-FFF2-40B4-BE49-F238E27FC236}">
              <a16:creationId xmlns:a16="http://schemas.microsoft.com/office/drawing/2014/main" id="{0BF3CEAC-2228-4D93-A8E8-FFB989655B02}"/>
            </a:ext>
          </a:extLst>
        </xdr:cNvPr>
        <xdr:cNvSpPr>
          <a:spLocks noChangeArrowheads="1"/>
        </xdr:cNvSpPr>
      </xdr:nvSpPr>
      <xdr:spPr bwMode="auto">
        <a:xfrm>
          <a:off x="632460" y="3703320"/>
          <a:ext cx="190500" cy="259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190500</xdr:colOff>
      <xdr:row>25</xdr:row>
      <xdr:rowOff>76200</xdr:rowOff>
    </xdr:to>
    <xdr:sp macro="" textlink="">
      <xdr:nvSpPr>
        <xdr:cNvPr id="13" name="Rectangle 2">
          <a:extLst>
            <a:ext uri="{FF2B5EF4-FFF2-40B4-BE49-F238E27FC236}">
              <a16:creationId xmlns:a16="http://schemas.microsoft.com/office/drawing/2014/main" id="{2A8D9CA5-1B0C-4B29-A9B7-E6D5CFAF8475}"/>
            </a:ext>
          </a:extLst>
        </xdr:cNvPr>
        <xdr:cNvSpPr>
          <a:spLocks noChangeArrowheads="1"/>
        </xdr:cNvSpPr>
      </xdr:nvSpPr>
      <xdr:spPr bwMode="auto">
        <a:xfrm>
          <a:off x="609600" y="4259580"/>
          <a:ext cx="1905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0</xdr:col>
      <xdr:colOff>0</xdr:colOff>
      <xdr:row>22</xdr:row>
      <xdr:rowOff>0</xdr:rowOff>
    </xdr:from>
    <xdr:ext cx="5229225" cy="609600"/>
    <xdr:sp macro="" textlink="">
      <xdr:nvSpPr>
        <xdr:cNvPr id="14" name="Shape 3">
          <a:extLst>
            <a:ext uri="{FF2B5EF4-FFF2-40B4-BE49-F238E27FC236}">
              <a16:creationId xmlns:a16="http://schemas.microsoft.com/office/drawing/2014/main" id="{FA741F36-65D9-4B1A-9B8C-67EDDB72A2F6}"/>
            </a:ext>
          </a:extLst>
        </xdr:cNvPr>
        <xdr:cNvSpPr/>
      </xdr:nvSpPr>
      <xdr:spPr>
        <a:xfrm>
          <a:off x="0" y="3870960"/>
          <a:ext cx="5229225" cy="6096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22</xdr:row>
      <xdr:rowOff>0</xdr:rowOff>
    </xdr:from>
    <xdr:ext cx="190500" cy="266700"/>
    <xdr:sp macro="" textlink="">
      <xdr:nvSpPr>
        <xdr:cNvPr id="15" name="Shape 4">
          <a:extLst>
            <a:ext uri="{FF2B5EF4-FFF2-40B4-BE49-F238E27FC236}">
              <a16:creationId xmlns:a16="http://schemas.microsoft.com/office/drawing/2014/main" id="{81C623B8-044D-4811-9CB4-993208814831}"/>
            </a:ext>
          </a:extLst>
        </xdr:cNvPr>
        <xdr:cNvSpPr/>
      </xdr:nvSpPr>
      <xdr:spPr>
        <a:xfrm>
          <a:off x="609600" y="3870960"/>
          <a:ext cx="190500" cy="266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0</xdr:colOff>
      <xdr:row>37</xdr:row>
      <xdr:rowOff>85725</xdr:rowOff>
    </xdr:from>
    <xdr:ext cx="190500" cy="257175"/>
    <xdr:sp macro="" textlink="">
      <xdr:nvSpPr>
        <xdr:cNvPr id="16" name="Shape 4">
          <a:extLst>
            <a:ext uri="{FF2B5EF4-FFF2-40B4-BE49-F238E27FC236}">
              <a16:creationId xmlns:a16="http://schemas.microsoft.com/office/drawing/2014/main" id="{4C6D42B1-22B5-44B8-9D2A-E008461094DB}"/>
            </a:ext>
          </a:extLst>
        </xdr:cNvPr>
        <xdr:cNvSpPr/>
      </xdr:nvSpPr>
      <xdr:spPr>
        <a:xfrm>
          <a:off x="0" y="7218045"/>
          <a:ext cx="1905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9525</xdr:colOff>
      <xdr:row>21</xdr:row>
      <xdr:rowOff>0</xdr:rowOff>
    </xdr:from>
    <xdr:ext cx="190500" cy="266700"/>
    <xdr:sp macro="" textlink="">
      <xdr:nvSpPr>
        <xdr:cNvPr id="17" name="Shape 4">
          <a:extLst>
            <a:ext uri="{FF2B5EF4-FFF2-40B4-BE49-F238E27FC236}">
              <a16:creationId xmlns:a16="http://schemas.microsoft.com/office/drawing/2014/main" id="{0AA406CB-3208-438D-BBA1-F5FA53313711}"/>
            </a:ext>
          </a:extLst>
        </xdr:cNvPr>
        <xdr:cNvSpPr/>
      </xdr:nvSpPr>
      <xdr:spPr>
        <a:xfrm>
          <a:off x="619125" y="3703320"/>
          <a:ext cx="190500" cy="2667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24</xdr:row>
      <xdr:rowOff>0</xdr:rowOff>
    </xdr:from>
    <xdr:ext cx="190500" cy="257175"/>
    <xdr:sp macro="" textlink="">
      <xdr:nvSpPr>
        <xdr:cNvPr id="18" name="Shape 4">
          <a:extLst>
            <a:ext uri="{FF2B5EF4-FFF2-40B4-BE49-F238E27FC236}">
              <a16:creationId xmlns:a16="http://schemas.microsoft.com/office/drawing/2014/main" id="{3809167E-E36D-4DDA-BE78-2B804ECFB70B}"/>
            </a:ext>
          </a:extLst>
        </xdr:cNvPr>
        <xdr:cNvSpPr/>
      </xdr:nvSpPr>
      <xdr:spPr>
        <a:xfrm>
          <a:off x="609600" y="4259580"/>
          <a:ext cx="190500" cy="2571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editAs="oneCell">
    <xdr:from>
      <xdr:col>0</xdr:col>
      <xdr:colOff>0</xdr:colOff>
      <xdr:row>22</xdr:row>
      <xdr:rowOff>15240</xdr:rowOff>
    </xdr:from>
    <xdr:to>
      <xdr:col>8</xdr:col>
      <xdr:colOff>358140</xdr:colOff>
      <xdr:row>25</xdr:row>
      <xdr:rowOff>106680</xdr:rowOff>
    </xdr:to>
    <xdr:sp macro="" textlink="">
      <xdr:nvSpPr>
        <xdr:cNvPr id="19" name="Rectangle 1">
          <a:extLst>
            <a:ext uri="{FF2B5EF4-FFF2-40B4-BE49-F238E27FC236}">
              <a16:creationId xmlns:a16="http://schemas.microsoft.com/office/drawing/2014/main" id="{74AA62BB-23DD-468D-BEC1-F0F6B2631671}"/>
            </a:ext>
          </a:extLst>
        </xdr:cNvPr>
        <xdr:cNvSpPr>
          <a:spLocks noChangeArrowheads="1"/>
        </xdr:cNvSpPr>
      </xdr:nvSpPr>
      <xdr:spPr bwMode="auto">
        <a:xfrm>
          <a:off x="0" y="3886200"/>
          <a:ext cx="5234940" cy="7010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22</xdr:row>
      <xdr:rowOff>0</xdr:rowOff>
    </xdr:from>
    <xdr:to>
      <xdr:col>1</xdr:col>
      <xdr:colOff>190500</xdr:colOff>
      <xdr:row>23</xdr:row>
      <xdr:rowOff>83820</xdr:rowOff>
    </xdr:to>
    <xdr:sp macro="" textlink="">
      <xdr:nvSpPr>
        <xdr:cNvPr id="20" name="Rectangle 2">
          <a:extLst>
            <a:ext uri="{FF2B5EF4-FFF2-40B4-BE49-F238E27FC236}">
              <a16:creationId xmlns:a16="http://schemas.microsoft.com/office/drawing/2014/main" id="{56D93988-98D6-4587-9BA6-61C0CE9BC5E8}"/>
            </a:ext>
          </a:extLst>
        </xdr:cNvPr>
        <xdr:cNvSpPr>
          <a:spLocks noChangeArrowheads="1"/>
        </xdr:cNvSpPr>
      </xdr:nvSpPr>
      <xdr:spPr bwMode="auto">
        <a:xfrm>
          <a:off x="609600" y="3870960"/>
          <a:ext cx="190500" cy="251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37</xdr:row>
      <xdr:rowOff>91440</xdr:rowOff>
    </xdr:from>
    <xdr:to>
      <xdr:col>0</xdr:col>
      <xdr:colOff>190500</xdr:colOff>
      <xdr:row>39</xdr:row>
      <xdr:rowOff>7620</xdr:rowOff>
    </xdr:to>
    <xdr:sp macro="" textlink="">
      <xdr:nvSpPr>
        <xdr:cNvPr id="21" name="Rectangle 3">
          <a:extLst>
            <a:ext uri="{FF2B5EF4-FFF2-40B4-BE49-F238E27FC236}">
              <a16:creationId xmlns:a16="http://schemas.microsoft.com/office/drawing/2014/main" id="{E767E1FE-025A-453A-B970-79A47BBA8DD7}"/>
            </a:ext>
          </a:extLst>
        </xdr:cNvPr>
        <xdr:cNvSpPr>
          <a:spLocks noChangeArrowheads="1"/>
        </xdr:cNvSpPr>
      </xdr:nvSpPr>
      <xdr:spPr bwMode="auto">
        <a:xfrm>
          <a:off x="0" y="7223760"/>
          <a:ext cx="19050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30480</xdr:colOff>
      <xdr:row>5</xdr:row>
      <xdr:rowOff>0</xdr:rowOff>
    </xdr:from>
    <xdr:to>
      <xdr:col>10</xdr:col>
      <xdr:colOff>586740</xdr:colOff>
      <xdr:row>16</xdr:row>
      <xdr:rowOff>15240</xdr:rowOff>
    </xdr:to>
    <xdr:sp macro="" textlink="">
      <xdr:nvSpPr>
        <xdr:cNvPr id="22" name="WordArt 11">
          <a:extLst>
            <a:ext uri="{FF2B5EF4-FFF2-40B4-BE49-F238E27FC236}">
              <a16:creationId xmlns:a16="http://schemas.microsoft.com/office/drawing/2014/main" id="{04E72480-1249-4280-AD99-EEA62272DC2A}"/>
            </a:ext>
          </a:extLst>
        </xdr:cNvPr>
        <xdr:cNvSpPr>
          <a:spLocks noChangeArrowheads="1" noChangeShapeType="1" noTextEdit="1"/>
        </xdr:cNvSpPr>
      </xdr:nvSpPr>
      <xdr:spPr bwMode="auto">
        <a:xfrm>
          <a:off x="30480" y="1021080"/>
          <a:ext cx="6652260" cy="185928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634"/>
            </a:avLst>
          </a:prstTxWarp>
        </a:bodyPr>
        <a:lstStyle/>
        <a:p>
          <a:pPr algn="l" rtl="0">
            <a:buNone/>
          </a:pPr>
          <a:endParaRPr lang="en-IN" sz="1100" u="sng" strike="sngStrike" cap="small" spc="0">
            <a:ln>
              <a:noFill/>
            </a:ln>
            <a:noFill/>
            <a:latin typeface="+mn-lt"/>
            <a:ea typeface="+mn-lt"/>
            <a:cs typeface="+mn-lt"/>
          </a:endParaRPr>
        </a:p>
      </xdr:txBody>
    </xdr:sp>
    <xdr:clientData/>
  </xdr:twoCellAnchor>
  <xdr:twoCellAnchor editAs="oneCell">
    <xdr:from>
      <xdr:col>1</xdr:col>
      <xdr:colOff>22860</xdr:colOff>
      <xdr:row>21</xdr:row>
      <xdr:rowOff>0</xdr:rowOff>
    </xdr:from>
    <xdr:to>
      <xdr:col>1</xdr:col>
      <xdr:colOff>213360</xdr:colOff>
      <xdr:row>22</xdr:row>
      <xdr:rowOff>91440</xdr:rowOff>
    </xdr:to>
    <xdr:sp macro="" textlink="">
      <xdr:nvSpPr>
        <xdr:cNvPr id="23" name="Rectangle 2">
          <a:extLst>
            <a:ext uri="{FF2B5EF4-FFF2-40B4-BE49-F238E27FC236}">
              <a16:creationId xmlns:a16="http://schemas.microsoft.com/office/drawing/2014/main" id="{BFE83A5B-DA6F-40A0-827C-3C73ECAA8434}"/>
            </a:ext>
          </a:extLst>
        </xdr:cNvPr>
        <xdr:cNvSpPr>
          <a:spLocks noChangeArrowheads="1"/>
        </xdr:cNvSpPr>
      </xdr:nvSpPr>
      <xdr:spPr bwMode="auto">
        <a:xfrm>
          <a:off x="632460" y="3703320"/>
          <a:ext cx="190500" cy="259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190500</xdr:colOff>
      <xdr:row>25</xdr:row>
      <xdr:rowOff>76200</xdr:rowOff>
    </xdr:to>
    <xdr:sp macro="" textlink="">
      <xdr:nvSpPr>
        <xdr:cNvPr id="24" name="Rectangle 2">
          <a:extLst>
            <a:ext uri="{FF2B5EF4-FFF2-40B4-BE49-F238E27FC236}">
              <a16:creationId xmlns:a16="http://schemas.microsoft.com/office/drawing/2014/main" id="{8A8C9A46-8501-436F-A06E-00A63EF538CB}"/>
            </a:ext>
          </a:extLst>
        </xdr:cNvPr>
        <xdr:cNvSpPr>
          <a:spLocks noChangeArrowheads="1"/>
        </xdr:cNvSpPr>
      </xdr:nvSpPr>
      <xdr:spPr bwMode="auto">
        <a:xfrm>
          <a:off x="609600" y="4259580"/>
          <a:ext cx="190500" cy="297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23</xdr:row>
      <xdr:rowOff>7620</xdr:rowOff>
    </xdr:from>
    <xdr:to>
      <xdr:col>8</xdr:col>
      <xdr:colOff>350520</xdr:colOff>
      <xdr:row>26</xdr:row>
      <xdr:rowOff>99060</xdr:rowOff>
    </xdr:to>
    <xdr:sp macro="" textlink="">
      <xdr:nvSpPr>
        <xdr:cNvPr id="25" name="Rectangle 14">
          <a:extLst>
            <a:ext uri="{FF2B5EF4-FFF2-40B4-BE49-F238E27FC236}">
              <a16:creationId xmlns:a16="http://schemas.microsoft.com/office/drawing/2014/main" id="{8FF091CF-6FA4-4F52-8023-B6FD979106C4}"/>
            </a:ext>
          </a:extLst>
        </xdr:cNvPr>
        <xdr:cNvSpPr>
          <a:spLocks noChangeArrowheads="1"/>
        </xdr:cNvSpPr>
      </xdr:nvSpPr>
      <xdr:spPr bwMode="auto">
        <a:xfrm>
          <a:off x="0" y="4046220"/>
          <a:ext cx="5227320" cy="7543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23</xdr:row>
      <xdr:rowOff>0</xdr:rowOff>
    </xdr:from>
    <xdr:to>
      <xdr:col>1</xdr:col>
      <xdr:colOff>190500</xdr:colOff>
      <xdr:row>24</xdr:row>
      <xdr:rowOff>83820</xdr:rowOff>
    </xdr:to>
    <xdr:sp macro="" textlink="">
      <xdr:nvSpPr>
        <xdr:cNvPr id="26" name="Rectangle 15">
          <a:extLst>
            <a:ext uri="{FF2B5EF4-FFF2-40B4-BE49-F238E27FC236}">
              <a16:creationId xmlns:a16="http://schemas.microsoft.com/office/drawing/2014/main" id="{3854BE97-F30E-460C-A87A-242E0BDDBDEA}"/>
            </a:ext>
          </a:extLst>
        </xdr:cNvPr>
        <xdr:cNvSpPr>
          <a:spLocks noChangeArrowheads="1"/>
        </xdr:cNvSpPr>
      </xdr:nvSpPr>
      <xdr:spPr bwMode="auto">
        <a:xfrm>
          <a:off x="609600" y="4038600"/>
          <a:ext cx="1905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0</xdr:colOff>
      <xdr:row>35</xdr:row>
      <xdr:rowOff>91440</xdr:rowOff>
    </xdr:from>
    <xdr:to>
      <xdr:col>0</xdr:col>
      <xdr:colOff>190500</xdr:colOff>
      <xdr:row>37</xdr:row>
      <xdr:rowOff>7620</xdr:rowOff>
    </xdr:to>
    <xdr:sp macro="" textlink="">
      <xdr:nvSpPr>
        <xdr:cNvPr id="27" name="Rectangle 16">
          <a:extLst>
            <a:ext uri="{FF2B5EF4-FFF2-40B4-BE49-F238E27FC236}">
              <a16:creationId xmlns:a16="http://schemas.microsoft.com/office/drawing/2014/main" id="{55BBC0A7-68A7-4A30-95A7-9358781DAF33}"/>
            </a:ext>
          </a:extLst>
        </xdr:cNvPr>
        <xdr:cNvSpPr>
          <a:spLocks noChangeArrowheads="1"/>
        </xdr:cNvSpPr>
      </xdr:nvSpPr>
      <xdr:spPr bwMode="auto">
        <a:xfrm>
          <a:off x="0" y="6781800"/>
          <a:ext cx="190500" cy="358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30480</xdr:colOff>
      <xdr:row>5</xdr:row>
      <xdr:rowOff>0</xdr:rowOff>
    </xdr:from>
    <xdr:to>
      <xdr:col>10</xdr:col>
      <xdr:colOff>579120</xdr:colOff>
      <xdr:row>16</xdr:row>
      <xdr:rowOff>7620</xdr:rowOff>
    </xdr:to>
    <xdr:sp macro="" textlink="">
      <xdr:nvSpPr>
        <xdr:cNvPr id="28" name="WordArt 11">
          <a:extLst>
            <a:ext uri="{FF2B5EF4-FFF2-40B4-BE49-F238E27FC236}">
              <a16:creationId xmlns:a16="http://schemas.microsoft.com/office/drawing/2014/main" id="{7542CBC6-2C84-45E1-B85D-98E6642569EF}"/>
            </a:ext>
          </a:extLst>
        </xdr:cNvPr>
        <xdr:cNvSpPr>
          <a:spLocks noChangeArrowheads="1" noChangeShapeType="1" noTextEdit="1"/>
        </xdr:cNvSpPr>
      </xdr:nvSpPr>
      <xdr:spPr bwMode="auto">
        <a:xfrm>
          <a:off x="30480" y="1021080"/>
          <a:ext cx="6644640" cy="185166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634"/>
            </a:avLst>
          </a:prstTxWarp>
        </a:bodyPr>
        <a:lstStyle/>
        <a:p>
          <a:pPr algn="l" rtl="0">
            <a:buNone/>
          </a:pPr>
          <a:endParaRPr lang="en-IN" sz="1100" u="sng" strike="sngStrike" cap="small" spc="0">
            <a:ln>
              <a:noFill/>
            </a:ln>
            <a:noFill/>
            <a:latin typeface="+mn-lt"/>
            <a:ea typeface="+mn-lt"/>
            <a:cs typeface="+mn-lt"/>
          </a:endParaRPr>
        </a:p>
      </xdr:txBody>
    </xdr:sp>
    <xdr:clientData/>
  </xdr:twoCellAnchor>
  <xdr:twoCellAnchor editAs="oneCell">
    <xdr:from>
      <xdr:col>1</xdr:col>
      <xdr:colOff>22860</xdr:colOff>
      <xdr:row>21</xdr:row>
      <xdr:rowOff>0</xdr:rowOff>
    </xdr:from>
    <xdr:to>
      <xdr:col>1</xdr:col>
      <xdr:colOff>213360</xdr:colOff>
      <xdr:row>22</xdr:row>
      <xdr:rowOff>91440</xdr:rowOff>
    </xdr:to>
    <xdr:sp macro="" textlink="">
      <xdr:nvSpPr>
        <xdr:cNvPr id="29" name="Rectangle 2">
          <a:extLst>
            <a:ext uri="{FF2B5EF4-FFF2-40B4-BE49-F238E27FC236}">
              <a16:creationId xmlns:a16="http://schemas.microsoft.com/office/drawing/2014/main" id="{42D5B71A-70B9-442E-BD54-30CE5EE20E17}"/>
            </a:ext>
          </a:extLst>
        </xdr:cNvPr>
        <xdr:cNvSpPr>
          <a:spLocks noChangeArrowheads="1"/>
        </xdr:cNvSpPr>
      </xdr:nvSpPr>
      <xdr:spPr bwMode="auto">
        <a:xfrm>
          <a:off x="632460" y="3703320"/>
          <a:ext cx="190500" cy="259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24</xdr:row>
      <xdr:rowOff>0</xdr:rowOff>
    </xdr:from>
    <xdr:to>
      <xdr:col>1</xdr:col>
      <xdr:colOff>190500</xdr:colOff>
      <xdr:row>25</xdr:row>
      <xdr:rowOff>83820</xdr:rowOff>
    </xdr:to>
    <xdr:sp macro="" textlink="">
      <xdr:nvSpPr>
        <xdr:cNvPr id="30" name="Rectangle 2">
          <a:extLst>
            <a:ext uri="{FF2B5EF4-FFF2-40B4-BE49-F238E27FC236}">
              <a16:creationId xmlns:a16="http://schemas.microsoft.com/office/drawing/2014/main" id="{5EB94D10-1F48-47D1-8B96-66F574076A17}"/>
            </a:ext>
          </a:extLst>
        </xdr:cNvPr>
        <xdr:cNvSpPr>
          <a:spLocks noChangeArrowheads="1"/>
        </xdr:cNvSpPr>
      </xdr:nvSpPr>
      <xdr:spPr bwMode="auto">
        <a:xfrm>
          <a:off x="609600" y="4259580"/>
          <a:ext cx="1905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424180</xdr:colOff>
      <xdr:row>0</xdr:row>
      <xdr:rowOff>0</xdr:rowOff>
    </xdr:from>
    <xdr:to>
      <xdr:col>6</xdr:col>
      <xdr:colOff>378460</xdr:colOff>
      <xdr:row>3</xdr:row>
      <xdr:rowOff>177800</xdr:rowOff>
    </xdr:to>
    <xdr:pic>
      <xdr:nvPicPr>
        <xdr:cNvPr id="31" name="Picture 1" descr="CA, chartered accountant Logo: A Symbol of Excellence and Indian Values -  Blog">
          <a:extLst>
            <a:ext uri="{FF2B5EF4-FFF2-40B4-BE49-F238E27FC236}">
              <a16:creationId xmlns:a16="http://schemas.microsoft.com/office/drawing/2014/main" id="{4E678B79-B9AC-47DF-9F53-8525341A63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62580" y="0"/>
          <a:ext cx="117348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Other%20computers\My%20Computer%20(1)\Office%20Documents%20(1)\Income%20Tax%20Work\Income%20Tax%20Audit\2025-26\1%20SSC%20BS%2031.03.2025.xlsx" TargetMode="External"/><Relationship Id="rId1" Type="http://schemas.openxmlformats.org/officeDocument/2006/relationships/externalLinkPath" Target="file:///G:\Other%20computers\My%20Computer%20(1)\Office%20Documents%20(1)\Income%20Tax%20Work\Income%20Tax%20Audit\2025-26\1%20SSC%20BS%2031.03.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AR 2024"/>
      <sheetName val="FAR 2025"/>
      <sheetName val="Audit Points"/>
      <sheetName val="Note1-2 "/>
      <sheetName val="My Contect"/>
      <sheetName val="Frunt"/>
      <sheetName val="BS"/>
      <sheetName val="PL"/>
      <sheetName val="BS Lia"/>
      <sheetName val="CFS"/>
      <sheetName val="BS Cap"/>
      <sheetName val="BS Cap (2)"/>
      <sheetName val="FA NEW"/>
      <sheetName val="BS Assets"/>
      <sheetName val="PL Det"/>
      <sheetName val="Notes to PL Det"/>
      <sheetName val="Addl Disclosure"/>
      <sheetName val="Ratio"/>
      <sheetName val="Aging Analysis"/>
      <sheetName val="Related Party"/>
      <sheetName val="Notes"/>
      <sheetName val="Sheet4"/>
      <sheetName val="Sheet1"/>
      <sheetName val="Trial 2025"/>
      <sheetName val="Sheet3"/>
      <sheetName val="Sheet2"/>
      <sheetName val="Prov &amp; Prepaid"/>
      <sheetName val="Trial 2020"/>
      <sheetName val="COI_AY2020-21"/>
      <sheetName val="GSTR-9"/>
      <sheetName val="GSTR-9C"/>
      <sheetName val="Sale Reco"/>
      <sheetName val="ITC Reco"/>
      <sheetName val="Sale Register"/>
      <sheetName val="GST-R1"/>
      <sheetName val="Purchase Register"/>
      <sheetName val="GSTR-2A"/>
      <sheetName val="Sheet5"/>
      <sheetName val="IT Dep"/>
      <sheetName val="DTA 2022"/>
      <sheetName val="Electricity"/>
    </sheetNames>
    <sheetDataSet>
      <sheetData sheetId="0">
        <row r="1">
          <cell r="J1">
            <v>1</v>
          </cell>
        </row>
        <row r="4">
          <cell r="F4" t="str">
            <v>Asset Group</v>
          </cell>
          <cell r="J4" t="str">
            <v>used during the year</v>
          </cell>
          <cell r="L4" t="str">
            <v>Opening Value</v>
          </cell>
          <cell r="M4" t="str">
            <v>Additions</v>
          </cell>
          <cell r="N4" t="str">
            <v>Deletions</v>
          </cell>
          <cell r="S4" t="str">
            <v>During the year</v>
          </cell>
        </row>
        <row r="5">
          <cell r="F5" t="str">
            <v>Building</v>
          </cell>
          <cell r="J5">
            <v>366</v>
          </cell>
          <cell r="M5">
            <v>0</v>
          </cell>
          <cell r="N5">
            <v>0</v>
          </cell>
          <cell r="S5">
            <v>0</v>
          </cell>
        </row>
        <row r="7">
          <cell r="L7">
            <v>0</v>
          </cell>
          <cell r="M7">
            <v>0</v>
          </cell>
          <cell r="N7">
            <v>0</v>
          </cell>
          <cell r="S7">
            <v>0</v>
          </cell>
        </row>
        <row r="9">
          <cell r="F9" t="str">
            <v>Computer</v>
          </cell>
          <cell r="J9">
            <v>366</v>
          </cell>
          <cell r="L9">
            <v>1816</v>
          </cell>
          <cell r="M9">
            <v>0</v>
          </cell>
          <cell r="N9">
            <v>0</v>
          </cell>
          <cell r="S9">
            <v>726</v>
          </cell>
        </row>
        <row r="11">
          <cell r="L11">
            <v>1816</v>
          </cell>
          <cell r="M11">
            <v>0</v>
          </cell>
          <cell r="N11">
            <v>0</v>
          </cell>
          <cell r="S11">
            <v>726</v>
          </cell>
        </row>
        <row r="13">
          <cell r="F13" t="str">
            <v>Furniture &amp; Fixtures</v>
          </cell>
          <cell r="J13">
            <v>366</v>
          </cell>
          <cell r="L13">
            <v>13963</v>
          </cell>
          <cell r="M13">
            <v>0</v>
          </cell>
          <cell r="N13">
            <v>0</v>
          </cell>
          <cell r="S13">
            <v>1396</v>
          </cell>
        </row>
        <row r="14">
          <cell r="F14" t="str">
            <v>Furniture &amp; Fixtures</v>
          </cell>
          <cell r="J14">
            <v>366</v>
          </cell>
          <cell r="L14">
            <v>7894</v>
          </cell>
          <cell r="M14">
            <v>0</v>
          </cell>
          <cell r="N14">
            <v>0</v>
          </cell>
          <cell r="S14">
            <v>789</v>
          </cell>
        </row>
        <row r="16">
          <cell r="L16">
            <v>21857</v>
          </cell>
          <cell r="M16">
            <v>0</v>
          </cell>
          <cell r="N16">
            <v>0</v>
          </cell>
          <cell r="S16">
            <v>2185</v>
          </cell>
        </row>
        <row r="18">
          <cell r="F18" t="str">
            <v>Machinery</v>
          </cell>
          <cell r="J18">
            <v>366</v>
          </cell>
          <cell r="L18">
            <v>84920</v>
          </cell>
          <cell r="S18">
            <v>12738</v>
          </cell>
        </row>
        <row r="19">
          <cell r="F19" t="str">
            <v>Machinery</v>
          </cell>
          <cell r="J19">
            <v>285</v>
          </cell>
          <cell r="M19">
            <v>400000</v>
          </cell>
          <cell r="S19">
            <v>60000</v>
          </cell>
        </row>
        <row r="21">
          <cell r="L21">
            <v>84920</v>
          </cell>
          <cell r="M21">
            <v>400000</v>
          </cell>
          <cell r="N21">
            <v>0</v>
          </cell>
          <cell r="S21">
            <v>72738</v>
          </cell>
        </row>
        <row r="23">
          <cell r="F23" t="str">
            <v>Office Equipments</v>
          </cell>
          <cell r="J23">
            <v>366</v>
          </cell>
          <cell r="L23">
            <v>18648.999999999996</v>
          </cell>
          <cell r="M23">
            <v>0</v>
          </cell>
          <cell r="N23">
            <v>0</v>
          </cell>
          <cell r="S23">
            <v>2797</v>
          </cell>
        </row>
        <row r="24">
          <cell r="F24" t="str">
            <v>Office Equipments</v>
          </cell>
          <cell r="J24">
            <v>366</v>
          </cell>
          <cell r="L24">
            <v>3960</v>
          </cell>
          <cell r="M24">
            <v>0</v>
          </cell>
          <cell r="N24">
            <v>0</v>
          </cell>
          <cell r="S24">
            <v>594</v>
          </cell>
        </row>
        <row r="25">
          <cell r="F25" t="str">
            <v>Office Equipments</v>
          </cell>
          <cell r="J25">
            <v>366</v>
          </cell>
          <cell r="L25">
            <v>80965</v>
          </cell>
          <cell r="S25">
            <v>12145</v>
          </cell>
        </row>
        <row r="26">
          <cell r="F26" t="str">
            <v>Office Equipments</v>
          </cell>
          <cell r="J26">
            <v>366</v>
          </cell>
          <cell r="L26">
            <v>26</v>
          </cell>
          <cell r="M26">
            <v>0</v>
          </cell>
          <cell r="N26">
            <v>0</v>
          </cell>
          <cell r="S26">
            <v>4</v>
          </cell>
        </row>
        <row r="27">
          <cell r="F27" t="str">
            <v>Office Equipments</v>
          </cell>
          <cell r="J27">
            <v>366</v>
          </cell>
          <cell r="L27">
            <v>3658</v>
          </cell>
          <cell r="S27">
            <v>549</v>
          </cell>
        </row>
        <row r="28">
          <cell r="F28" t="str">
            <v>Office Equipments</v>
          </cell>
          <cell r="J28">
            <v>366</v>
          </cell>
          <cell r="L28">
            <v>130628.99999999999</v>
          </cell>
          <cell r="S28">
            <v>19594</v>
          </cell>
        </row>
        <row r="29">
          <cell r="F29" t="str">
            <v>Office Equipments</v>
          </cell>
          <cell r="J29">
            <v>332</v>
          </cell>
          <cell r="M29">
            <v>26271.200000000001</v>
          </cell>
          <cell r="S29">
            <v>3940.2</v>
          </cell>
        </row>
        <row r="30">
          <cell r="F30" t="str">
            <v>Office Equipments</v>
          </cell>
          <cell r="J30">
            <v>304</v>
          </cell>
          <cell r="M30">
            <v>10847.46</v>
          </cell>
          <cell r="S30">
            <v>1627.46</v>
          </cell>
        </row>
        <row r="31">
          <cell r="F31" t="str">
            <v>Office Equipments</v>
          </cell>
          <cell r="J31">
            <v>282</v>
          </cell>
          <cell r="M31">
            <v>9097.6200000000008</v>
          </cell>
          <cell r="S31">
            <v>1364.62</v>
          </cell>
        </row>
        <row r="32">
          <cell r="F32" t="str">
            <v>Office Equipments</v>
          </cell>
          <cell r="J32">
            <v>264</v>
          </cell>
          <cell r="M32">
            <v>13559.32</v>
          </cell>
          <cell r="S32">
            <v>2034.32</v>
          </cell>
        </row>
        <row r="33">
          <cell r="F33" t="str">
            <v>Office Equipments</v>
          </cell>
          <cell r="J33">
            <v>228</v>
          </cell>
          <cell r="M33">
            <v>764</v>
          </cell>
          <cell r="S33">
            <v>115</v>
          </cell>
        </row>
        <row r="34">
          <cell r="F34" t="str">
            <v>Office Equipments</v>
          </cell>
          <cell r="J34">
            <v>228</v>
          </cell>
          <cell r="M34">
            <v>25423.72</v>
          </cell>
          <cell r="S34">
            <v>3813.72</v>
          </cell>
        </row>
        <row r="35">
          <cell r="F35" t="str">
            <v>Office Equipments</v>
          </cell>
          <cell r="J35">
            <v>191</v>
          </cell>
          <cell r="M35">
            <v>3898.39</v>
          </cell>
          <cell r="S35">
            <v>584.39</v>
          </cell>
        </row>
        <row r="36">
          <cell r="F36" t="str">
            <v>Office Equipments</v>
          </cell>
          <cell r="J36">
            <v>187</v>
          </cell>
          <cell r="M36">
            <v>6271.52</v>
          </cell>
          <cell r="S36">
            <v>940.52</v>
          </cell>
        </row>
        <row r="37">
          <cell r="F37" t="str">
            <v>Office Equipments</v>
          </cell>
          <cell r="J37">
            <v>185</v>
          </cell>
          <cell r="M37">
            <v>932</v>
          </cell>
          <cell r="S37">
            <v>140</v>
          </cell>
        </row>
        <row r="38">
          <cell r="F38" t="str">
            <v>Office Equipments</v>
          </cell>
          <cell r="J38">
            <v>183</v>
          </cell>
          <cell r="M38">
            <v>2025.42</v>
          </cell>
          <cell r="S38">
            <v>303.42</v>
          </cell>
        </row>
        <row r="39">
          <cell r="F39" t="str">
            <v>Office Equipments</v>
          </cell>
          <cell r="J39">
            <v>150</v>
          </cell>
          <cell r="M39">
            <v>1847.45</v>
          </cell>
          <cell r="S39">
            <v>138.44999999999999</v>
          </cell>
        </row>
        <row r="40">
          <cell r="F40" t="str">
            <v>Office Equipments</v>
          </cell>
          <cell r="J40">
            <v>115</v>
          </cell>
          <cell r="M40">
            <v>14805</v>
          </cell>
          <cell r="S40">
            <v>1110</v>
          </cell>
        </row>
        <row r="41">
          <cell r="F41" t="str">
            <v>Office Equipments</v>
          </cell>
          <cell r="J41">
            <v>98</v>
          </cell>
          <cell r="M41">
            <v>584.73</v>
          </cell>
          <cell r="S41">
            <v>43.73</v>
          </cell>
        </row>
        <row r="42">
          <cell r="F42" t="str">
            <v>Office Equipments</v>
          </cell>
          <cell r="J42">
            <v>41</v>
          </cell>
          <cell r="M42">
            <v>5500</v>
          </cell>
          <cell r="S42">
            <v>413</v>
          </cell>
        </row>
        <row r="43">
          <cell r="F43" t="str">
            <v>Office Equipments</v>
          </cell>
          <cell r="J43">
            <v>32</v>
          </cell>
          <cell r="M43">
            <v>1144.06</v>
          </cell>
          <cell r="S43">
            <v>86.06</v>
          </cell>
        </row>
        <row r="45">
          <cell r="L45">
            <v>237887</v>
          </cell>
          <cell r="M45">
            <v>122971.89</v>
          </cell>
          <cell r="N45">
            <v>0</v>
          </cell>
          <cell r="S45">
            <v>52337.889999999992</v>
          </cell>
        </row>
        <row r="47">
          <cell r="F47" t="str">
            <v>Vehicles</v>
          </cell>
          <cell r="J47">
            <v>366</v>
          </cell>
          <cell r="L47">
            <v>34258</v>
          </cell>
          <cell r="S47">
            <v>5138</v>
          </cell>
        </row>
        <row r="48">
          <cell r="F48" t="str">
            <v>Vehicles</v>
          </cell>
          <cell r="J48">
            <v>366</v>
          </cell>
          <cell r="L48">
            <v>379097</v>
          </cell>
          <cell r="M48">
            <v>0</v>
          </cell>
          <cell r="N48">
            <v>0</v>
          </cell>
          <cell r="S48">
            <v>56865</v>
          </cell>
        </row>
        <row r="49">
          <cell r="F49" t="str">
            <v>Vehicles</v>
          </cell>
          <cell r="J49">
            <v>166</v>
          </cell>
          <cell r="M49">
            <v>81340.639999999999</v>
          </cell>
          <cell r="S49">
            <v>6100.64</v>
          </cell>
        </row>
        <row r="51">
          <cell r="L51">
            <v>413355</v>
          </cell>
          <cell r="M51">
            <v>81340.639999999999</v>
          </cell>
          <cell r="N51">
            <v>0</v>
          </cell>
          <cell r="S51">
            <v>68103.64</v>
          </cell>
        </row>
        <row r="53">
          <cell r="L53">
            <v>759835</v>
          </cell>
          <cell r="M53">
            <v>604312.53</v>
          </cell>
          <cell r="N53">
            <v>0</v>
          </cell>
          <cell r="S53">
            <v>196090.52999999997</v>
          </cell>
        </row>
      </sheetData>
      <sheetData sheetId="1">
        <row r="1">
          <cell r="J1">
            <v>1</v>
          </cell>
        </row>
        <row r="4">
          <cell r="F4" t="str">
            <v>Asset Group</v>
          </cell>
          <cell r="J4" t="str">
            <v>used during the year</v>
          </cell>
          <cell r="L4" t="str">
            <v>Opening Value</v>
          </cell>
          <cell r="M4" t="str">
            <v>Additions</v>
          </cell>
          <cell r="N4" t="str">
            <v>Deletions</v>
          </cell>
          <cell r="S4" t="str">
            <v>During the year</v>
          </cell>
        </row>
        <row r="5">
          <cell r="F5" t="str">
            <v>Building</v>
          </cell>
          <cell r="J5">
            <v>365</v>
          </cell>
          <cell r="M5">
            <v>0</v>
          </cell>
          <cell r="N5">
            <v>0</v>
          </cell>
          <cell r="S5">
            <v>0</v>
          </cell>
        </row>
        <row r="7">
          <cell r="L7">
            <v>0</v>
          </cell>
          <cell r="M7">
            <v>0</v>
          </cell>
          <cell r="N7">
            <v>0</v>
          </cell>
          <cell r="S7">
            <v>0</v>
          </cell>
        </row>
        <row r="9">
          <cell r="F9" t="str">
            <v>Computer</v>
          </cell>
          <cell r="J9">
            <v>365</v>
          </cell>
          <cell r="L9">
            <v>1090</v>
          </cell>
          <cell r="M9">
            <v>0</v>
          </cell>
          <cell r="N9">
            <v>0</v>
          </cell>
          <cell r="S9">
            <v>436</v>
          </cell>
        </row>
        <row r="11">
          <cell r="L11">
            <v>1090</v>
          </cell>
          <cell r="M11">
            <v>0</v>
          </cell>
          <cell r="N11">
            <v>0</v>
          </cell>
          <cell r="S11">
            <v>436</v>
          </cell>
        </row>
        <row r="13">
          <cell r="F13" t="str">
            <v>Furniture &amp; Fixtures</v>
          </cell>
          <cell r="J13">
            <v>365</v>
          </cell>
          <cell r="L13">
            <v>12567</v>
          </cell>
          <cell r="M13">
            <v>0</v>
          </cell>
          <cell r="N13">
            <v>0</v>
          </cell>
          <cell r="S13">
            <v>1257</v>
          </cell>
        </row>
        <row r="14">
          <cell r="F14" t="str">
            <v>Furniture &amp; Fixtures</v>
          </cell>
          <cell r="J14">
            <v>365</v>
          </cell>
          <cell r="L14">
            <v>7105</v>
          </cell>
          <cell r="M14">
            <v>0</v>
          </cell>
          <cell r="N14">
            <v>0</v>
          </cell>
          <cell r="S14">
            <v>711</v>
          </cell>
        </row>
        <row r="16">
          <cell r="L16">
            <v>19672</v>
          </cell>
          <cell r="M16">
            <v>0</v>
          </cell>
          <cell r="N16">
            <v>0</v>
          </cell>
          <cell r="S16">
            <v>1968</v>
          </cell>
        </row>
        <row r="18">
          <cell r="F18" t="str">
            <v>Machinery</v>
          </cell>
          <cell r="J18">
            <v>365</v>
          </cell>
          <cell r="L18">
            <v>72182</v>
          </cell>
          <cell r="S18">
            <v>10827</v>
          </cell>
        </row>
        <row r="19">
          <cell r="F19" t="str">
            <v>Machinery</v>
          </cell>
          <cell r="J19">
            <v>365</v>
          </cell>
          <cell r="L19">
            <v>340000</v>
          </cell>
          <cell r="S19">
            <v>51000</v>
          </cell>
        </row>
        <row r="21">
          <cell r="L21">
            <v>412182</v>
          </cell>
          <cell r="M21">
            <v>0</v>
          </cell>
          <cell r="N21">
            <v>0</v>
          </cell>
          <cell r="S21">
            <v>61827</v>
          </cell>
        </row>
        <row r="23">
          <cell r="F23" t="str">
            <v>Office Equipments</v>
          </cell>
          <cell r="J23">
            <v>365</v>
          </cell>
          <cell r="L23">
            <v>15851.999999999996</v>
          </cell>
          <cell r="N23">
            <v>0</v>
          </cell>
          <cell r="S23">
            <v>2378</v>
          </cell>
        </row>
        <row r="24">
          <cell r="F24" t="str">
            <v>Office Equipments</v>
          </cell>
          <cell r="J24">
            <v>365</v>
          </cell>
          <cell r="L24">
            <v>3366</v>
          </cell>
          <cell r="N24">
            <v>0</v>
          </cell>
          <cell r="S24">
            <v>505</v>
          </cell>
        </row>
        <row r="25">
          <cell r="F25" t="str">
            <v>Office Equipments</v>
          </cell>
          <cell r="J25">
            <v>365</v>
          </cell>
          <cell r="L25">
            <v>68820</v>
          </cell>
          <cell r="S25">
            <v>10323</v>
          </cell>
        </row>
        <row r="26">
          <cell r="F26" t="str">
            <v>Office Equipments</v>
          </cell>
          <cell r="J26">
            <v>365</v>
          </cell>
          <cell r="L26">
            <v>22</v>
          </cell>
          <cell r="N26">
            <v>0</v>
          </cell>
          <cell r="S26">
            <v>3</v>
          </cell>
        </row>
        <row r="27">
          <cell r="F27" t="str">
            <v>Office Equipments</v>
          </cell>
          <cell r="J27">
            <v>365</v>
          </cell>
          <cell r="L27">
            <v>3109</v>
          </cell>
          <cell r="S27">
            <v>466</v>
          </cell>
        </row>
        <row r="28">
          <cell r="F28" t="str">
            <v>Office Equipments</v>
          </cell>
          <cell r="J28">
            <v>365</v>
          </cell>
          <cell r="L28">
            <v>111034.99999999999</v>
          </cell>
          <cell r="S28">
            <v>16655</v>
          </cell>
        </row>
        <row r="29">
          <cell r="F29" t="str">
            <v>Office Equipments</v>
          </cell>
          <cell r="J29">
            <v>365</v>
          </cell>
          <cell r="L29">
            <v>22331</v>
          </cell>
          <cell r="S29">
            <v>3350</v>
          </cell>
        </row>
        <row r="30">
          <cell r="F30" t="str">
            <v>Office Equipments</v>
          </cell>
          <cell r="J30">
            <v>365</v>
          </cell>
          <cell r="L30">
            <v>9220</v>
          </cell>
          <cell r="S30">
            <v>1383</v>
          </cell>
        </row>
        <row r="31">
          <cell r="F31" t="str">
            <v>Office Equipments</v>
          </cell>
          <cell r="J31">
            <v>365</v>
          </cell>
          <cell r="L31">
            <v>7733.0000000000009</v>
          </cell>
          <cell r="S31">
            <v>1160</v>
          </cell>
        </row>
        <row r="32">
          <cell r="F32" t="str">
            <v>Office Equipments</v>
          </cell>
          <cell r="J32">
            <v>365</v>
          </cell>
          <cell r="L32">
            <v>11525</v>
          </cell>
          <cell r="S32">
            <v>1729</v>
          </cell>
        </row>
        <row r="33">
          <cell r="F33" t="str">
            <v>Office Equipments</v>
          </cell>
          <cell r="J33">
            <v>365</v>
          </cell>
          <cell r="L33">
            <v>649</v>
          </cell>
          <cell r="S33">
            <v>97</v>
          </cell>
        </row>
        <row r="34">
          <cell r="F34" t="str">
            <v>Office Equipments</v>
          </cell>
          <cell r="J34">
            <v>365</v>
          </cell>
          <cell r="L34">
            <v>21610</v>
          </cell>
          <cell r="S34">
            <v>3242</v>
          </cell>
        </row>
        <row r="35">
          <cell r="F35" t="str">
            <v>Office Equipments</v>
          </cell>
          <cell r="J35">
            <v>365</v>
          </cell>
          <cell r="L35">
            <v>3314</v>
          </cell>
          <cell r="S35">
            <v>497</v>
          </cell>
        </row>
        <row r="36">
          <cell r="F36" t="str">
            <v>Office Equipments</v>
          </cell>
          <cell r="J36">
            <v>365</v>
          </cell>
          <cell r="L36">
            <v>5331</v>
          </cell>
          <cell r="S36">
            <v>800</v>
          </cell>
        </row>
        <row r="37">
          <cell r="F37" t="str">
            <v>Office Equipments</v>
          </cell>
          <cell r="J37">
            <v>365</v>
          </cell>
          <cell r="L37">
            <v>792</v>
          </cell>
          <cell r="S37">
            <v>119</v>
          </cell>
        </row>
        <row r="38">
          <cell r="F38" t="str">
            <v>Office Equipments</v>
          </cell>
          <cell r="J38">
            <v>365</v>
          </cell>
          <cell r="L38">
            <v>1722</v>
          </cell>
          <cell r="S38">
            <v>258</v>
          </cell>
        </row>
        <row r="39">
          <cell r="F39" t="str">
            <v>Office Equipments</v>
          </cell>
          <cell r="J39">
            <v>365</v>
          </cell>
          <cell r="L39">
            <v>1709</v>
          </cell>
          <cell r="S39">
            <v>256</v>
          </cell>
        </row>
        <row r="40">
          <cell r="F40" t="str">
            <v>Office Equipments</v>
          </cell>
          <cell r="J40">
            <v>365</v>
          </cell>
          <cell r="L40">
            <v>13695</v>
          </cell>
          <cell r="S40">
            <v>2054</v>
          </cell>
        </row>
        <row r="41">
          <cell r="F41" t="str">
            <v>Office Equipments</v>
          </cell>
          <cell r="J41">
            <v>365</v>
          </cell>
          <cell r="L41">
            <v>541</v>
          </cell>
          <cell r="S41">
            <v>81</v>
          </cell>
        </row>
        <row r="42">
          <cell r="F42" t="str">
            <v>Office Equipments</v>
          </cell>
          <cell r="J42">
            <v>365</v>
          </cell>
          <cell r="L42">
            <v>5087</v>
          </cell>
          <cell r="S42">
            <v>763</v>
          </cell>
        </row>
        <row r="43">
          <cell r="F43" t="str">
            <v>Office Equipments</v>
          </cell>
          <cell r="J43">
            <v>365</v>
          </cell>
          <cell r="L43">
            <v>1058</v>
          </cell>
          <cell r="S43">
            <v>159</v>
          </cell>
        </row>
        <row r="44">
          <cell r="F44" t="str">
            <v>Office Equipments</v>
          </cell>
          <cell r="J44">
            <v>154</v>
          </cell>
          <cell r="M44">
            <v>1610.16</v>
          </cell>
          <cell r="S44">
            <v>120.16</v>
          </cell>
        </row>
        <row r="45">
          <cell r="F45" t="str">
            <v>Office Equipments</v>
          </cell>
          <cell r="J45">
            <v>1</v>
          </cell>
          <cell r="M45">
            <v>1057</v>
          </cell>
          <cell r="S45">
            <v>79</v>
          </cell>
        </row>
        <row r="47">
          <cell r="L47">
            <v>308521</v>
          </cell>
          <cell r="M47">
            <v>2667.16</v>
          </cell>
          <cell r="N47">
            <v>0</v>
          </cell>
          <cell r="S47">
            <v>46477.16</v>
          </cell>
        </row>
        <row r="49">
          <cell r="F49" t="str">
            <v>Vehicles</v>
          </cell>
          <cell r="J49">
            <v>365</v>
          </cell>
          <cell r="L49">
            <v>29120</v>
          </cell>
          <cell r="S49">
            <v>4368</v>
          </cell>
        </row>
        <row r="50">
          <cell r="F50" t="str">
            <v>Vehicles</v>
          </cell>
          <cell r="J50">
            <v>365</v>
          </cell>
          <cell r="L50">
            <v>322232</v>
          </cell>
          <cell r="N50">
            <v>0</v>
          </cell>
          <cell r="S50">
            <v>48335</v>
          </cell>
        </row>
        <row r="51">
          <cell r="F51" t="str">
            <v>Vehicles</v>
          </cell>
          <cell r="J51">
            <v>365</v>
          </cell>
          <cell r="L51">
            <v>75240</v>
          </cell>
          <cell r="S51">
            <v>11286</v>
          </cell>
        </row>
        <row r="53">
          <cell r="L53">
            <v>426592</v>
          </cell>
          <cell r="M53">
            <v>0</v>
          </cell>
          <cell r="N53">
            <v>0</v>
          </cell>
          <cell r="S53">
            <v>63989</v>
          </cell>
        </row>
        <row r="55">
          <cell r="L55">
            <v>1168057</v>
          </cell>
          <cell r="M55">
            <v>2667.16</v>
          </cell>
          <cell r="N55">
            <v>0</v>
          </cell>
          <cell r="S55">
            <v>174697.16</v>
          </cell>
        </row>
      </sheetData>
      <sheetData sheetId="2"/>
      <sheetData sheetId="3"/>
      <sheetData sheetId="4"/>
      <sheetData sheetId="5"/>
      <sheetData sheetId="6"/>
      <sheetData sheetId="7"/>
      <sheetData sheetId="8"/>
      <sheetData sheetId="9">
        <row r="46">
          <cell r="B46" t="str">
            <v>FOR KUMAR GUPTA &amp; ASSOCIATES</v>
          </cell>
        </row>
        <row r="47">
          <cell r="B47" t="str">
            <v>CHARTERED ACCOUNTANTS</v>
          </cell>
        </row>
        <row r="48">
          <cell r="B48" t="str">
            <v>Firm Registration No. 035355N</v>
          </cell>
        </row>
        <row r="53">
          <cell r="B53" t="str">
            <v>(CA. KESHAV GUPTA)</v>
          </cell>
        </row>
        <row r="54">
          <cell r="B54" t="str">
            <v>PROPRIETOR</v>
          </cell>
        </row>
        <row r="55">
          <cell r="B55" t="str">
            <v>(M.NO. 553123)</v>
          </cell>
        </row>
        <row r="56">
          <cell r="B56" t="str">
            <v>UDIN : 25553123BMLDXE6873</v>
          </cell>
        </row>
        <row r="57">
          <cell r="B57" t="str">
            <v xml:space="preserve">Place  : Ludhiana           </v>
          </cell>
        </row>
        <row r="58">
          <cell r="B58" t="str">
            <v>Dated  :  04-Oct-2025</v>
          </cell>
        </row>
      </sheetData>
      <sheetData sheetId="10">
        <row r="1">
          <cell r="C1" t="str">
            <v>SINGLA STEEL CORPORATION</v>
          </cell>
        </row>
        <row r="2">
          <cell r="C2" t="str">
            <v>Notes to Financial Statements for the year ended 31.03.2025</v>
          </cell>
        </row>
        <row r="4">
          <cell r="H4" t="str">
            <v>(Amount in INR)</v>
          </cell>
        </row>
        <row r="5">
          <cell r="L5" t="str">
            <v>As at 31.03.2025
Amount (Rs.)</v>
          </cell>
          <cell r="M5" t="str">
            <v>As at 31.03.2024
Amount (Rs.)</v>
          </cell>
        </row>
        <row r="52">
          <cell r="E52" t="str">
            <v>ASHWANI KUMAR SINGLA</v>
          </cell>
        </row>
        <row r="53">
          <cell r="C53" t="str">
            <v>AUDITOR</v>
          </cell>
          <cell r="E53" t="str">
            <v>PROPRIETOR</v>
          </cell>
        </row>
      </sheetData>
      <sheetData sheetId="11">
        <row r="23">
          <cell r="C23" t="str">
            <v>(CA. KESHAV GUPTA)</v>
          </cell>
        </row>
      </sheetData>
      <sheetData sheetId="12"/>
      <sheetData sheetId="13"/>
      <sheetData sheetId="14"/>
      <sheetData sheetId="15"/>
      <sheetData sheetId="16"/>
      <sheetData sheetId="17">
        <row r="1">
          <cell r="C1" t="str">
            <v>SINGLA STEEL CORPORATION</v>
          </cell>
        </row>
        <row r="2">
          <cell r="C2" t="str">
            <v>Notes to Financial Statements for the year ended 31.03.2025</v>
          </cell>
        </row>
        <row r="4">
          <cell r="G4" t="str">
            <v>(Amount in INR)</v>
          </cell>
        </row>
      </sheetData>
      <sheetData sheetId="18"/>
      <sheetData sheetId="19"/>
      <sheetData sheetId="20">
        <row r="2">
          <cell r="B2" t="str">
            <v>Notes to Financial Statements for the year ended 31.03.2025</v>
          </cell>
        </row>
      </sheetData>
      <sheetData sheetId="21"/>
      <sheetData sheetId="22"/>
      <sheetData sheetId="23"/>
      <sheetData sheetId="24"/>
      <sheetData sheetId="25"/>
      <sheetData sheetId="26"/>
      <sheetData sheetId="27"/>
      <sheetData sheetId="28">
        <row r="31">
          <cell r="G31">
            <v>38850</v>
          </cell>
        </row>
      </sheetData>
      <sheetData sheetId="29"/>
      <sheetData sheetId="30"/>
      <sheetData sheetId="31"/>
      <sheetData sheetId="32"/>
      <sheetData sheetId="33"/>
      <sheetData sheetId="34"/>
      <sheetData sheetId="35"/>
      <sheetData sheetId="36"/>
      <sheetData sheetId="37"/>
      <sheetData sheetId="38"/>
      <sheetData sheetId="39">
        <row r="18">
          <cell r="H18">
            <v>0</v>
          </cell>
        </row>
        <row r="22">
          <cell r="H22">
            <v>0</v>
          </cell>
        </row>
      </sheetData>
      <sheetData sheetId="4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972C0-30A6-4CCF-87E5-24687D84A398}">
  <dimension ref="A1:Z1002"/>
  <sheetViews>
    <sheetView tabSelected="1" topLeftCell="A22" workbookViewId="0">
      <selection activeCell="I20" sqref="I20"/>
    </sheetView>
  </sheetViews>
  <sheetFormatPr defaultColWidth="12.5546875" defaultRowHeight="15" customHeight="1"/>
  <cols>
    <col min="1" max="1" width="9.109375" style="2" customWidth="1"/>
    <col min="2" max="2" width="22.44140625" style="2" customWidth="1"/>
    <col min="3" max="3" width="25.109375" style="2" customWidth="1"/>
    <col min="4" max="5" width="30.6640625" style="2" customWidth="1"/>
    <col min="6" max="6" width="25" style="2" customWidth="1"/>
    <col min="7" max="7" width="21.44140625" style="2" customWidth="1"/>
    <col min="8" max="26" width="8" style="2" customWidth="1"/>
    <col min="27" max="16384" width="12.5546875" style="2"/>
  </cols>
  <sheetData>
    <row r="1" spans="1:26" ht="12.75" customHeight="1">
      <c r="A1" s="1">
        <v>1</v>
      </c>
      <c r="B1" s="1"/>
      <c r="C1" s="1"/>
      <c r="D1" s="1"/>
      <c r="E1" s="1"/>
      <c r="F1" s="1"/>
      <c r="G1" s="1"/>
      <c r="H1" s="1"/>
      <c r="I1" s="1"/>
      <c r="J1" s="1"/>
      <c r="K1" s="1"/>
      <c r="L1" s="1"/>
      <c r="M1" s="1"/>
      <c r="N1" s="1"/>
      <c r="O1" s="1"/>
      <c r="P1" s="1"/>
      <c r="Q1" s="1"/>
      <c r="R1" s="1"/>
      <c r="S1" s="1"/>
      <c r="T1" s="1"/>
      <c r="U1" s="1"/>
      <c r="V1" s="1"/>
      <c r="W1" s="1"/>
      <c r="X1" s="1"/>
      <c r="Y1" s="1"/>
      <c r="Z1" s="1"/>
    </row>
    <row r="2" spans="1:26" ht="30" customHeight="1">
      <c r="A2" s="1"/>
      <c r="B2" s="1"/>
      <c r="C2" s="3" t="s">
        <v>0</v>
      </c>
      <c r="D2" s="4"/>
      <c r="E2" s="1">
        <v>1</v>
      </c>
      <c r="F2" s="5" t="s">
        <v>1</v>
      </c>
      <c r="G2" s="5"/>
      <c r="H2" s="1"/>
      <c r="I2" s="1"/>
      <c r="J2" s="1"/>
      <c r="K2" s="1"/>
      <c r="L2" s="1"/>
      <c r="M2" s="1"/>
      <c r="N2" s="1"/>
      <c r="O2" s="1"/>
      <c r="P2" s="1"/>
      <c r="Q2" s="1"/>
      <c r="R2" s="1"/>
      <c r="S2" s="1"/>
      <c r="T2" s="1"/>
      <c r="U2" s="1"/>
      <c r="V2" s="1"/>
      <c r="W2" s="1"/>
      <c r="X2" s="1"/>
      <c r="Y2" s="1"/>
      <c r="Z2" s="1"/>
    </row>
    <row r="3" spans="1:26" ht="12.75" customHeight="1">
      <c r="A3" s="1"/>
      <c r="B3" s="1"/>
      <c r="C3" s="1"/>
      <c r="D3" s="1"/>
      <c r="E3" s="1"/>
      <c r="F3" s="1"/>
      <c r="G3" s="1"/>
      <c r="H3" s="1"/>
      <c r="I3" s="1"/>
      <c r="J3" s="1"/>
      <c r="K3" s="1"/>
      <c r="L3" s="1"/>
      <c r="M3" s="1"/>
      <c r="N3" s="1"/>
      <c r="O3" s="1"/>
      <c r="P3" s="1"/>
      <c r="Q3" s="1"/>
      <c r="R3" s="1"/>
      <c r="S3" s="1"/>
      <c r="T3" s="1"/>
      <c r="U3" s="1"/>
      <c r="V3" s="1"/>
      <c r="W3" s="1"/>
      <c r="X3" s="1"/>
      <c r="Y3" s="1"/>
      <c r="Z3" s="1"/>
    </row>
    <row r="4" spans="1:26" ht="12.75" customHeight="1">
      <c r="A4" s="1"/>
      <c r="B4" s="1"/>
      <c r="C4" s="6" t="s">
        <v>2</v>
      </c>
      <c r="D4" s="6" t="s">
        <v>3</v>
      </c>
      <c r="E4" s="1"/>
      <c r="F4" s="1"/>
      <c r="G4" s="1"/>
      <c r="H4" s="1"/>
      <c r="I4" s="1"/>
      <c r="J4" s="1"/>
      <c r="K4" s="1"/>
      <c r="L4" s="1"/>
      <c r="M4" s="1"/>
      <c r="N4" s="1"/>
      <c r="O4" s="1"/>
      <c r="P4" s="1"/>
      <c r="Q4" s="1"/>
      <c r="R4" s="1"/>
      <c r="S4" s="1"/>
      <c r="T4" s="1"/>
      <c r="U4" s="1"/>
      <c r="V4" s="1"/>
      <c r="W4" s="1"/>
      <c r="X4" s="1"/>
      <c r="Y4" s="1"/>
      <c r="Z4" s="1"/>
    </row>
    <row r="5" spans="1:26" ht="12.75" customHeight="1">
      <c r="A5" s="1"/>
      <c r="B5" s="1"/>
      <c r="C5" s="6" t="s">
        <v>4</v>
      </c>
      <c r="D5" s="6" t="s">
        <v>5</v>
      </c>
      <c r="E5" s="1"/>
      <c r="F5" s="1"/>
      <c r="G5" s="1"/>
      <c r="H5" s="1"/>
      <c r="I5" s="1"/>
      <c r="J5" s="1"/>
      <c r="K5" s="1"/>
      <c r="L5" s="1"/>
      <c r="M5" s="1"/>
      <c r="N5" s="1"/>
      <c r="O5" s="1"/>
      <c r="P5" s="1"/>
      <c r="Q5" s="1"/>
      <c r="R5" s="1"/>
      <c r="S5" s="1"/>
      <c r="T5" s="1"/>
      <c r="U5" s="1"/>
      <c r="V5" s="1"/>
      <c r="W5" s="1"/>
      <c r="X5" s="1"/>
      <c r="Y5" s="1"/>
      <c r="Z5" s="1"/>
    </row>
    <row r="6" spans="1:26" ht="12.75" customHeight="1">
      <c r="A6" s="1"/>
      <c r="B6" s="1"/>
      <c r="C6" s="6" t="s">
        <v>6</v>
      </c>
      <c r="D6" s="6" t="s">
        <v>7</v>
      </c>
      <c r="E6" s="1"/>
      <c r="F6" s="1"/>
      <c r="G6" s="1"/>
      <c r="H6" s="1"/>
      <c r="I6" s="1"/>
      <c r="J6" s="1"/>
      <c r="K6" s="1"/>
      <c r="L6" s="1"/>
      <c r="M6" s="1"/>
      <c r="N6" s="1"/>
      <c r="O6" s="1"/>
      <c r="P6" s="1"/>
      <c r="Q6" s="1"/>
      <c r="R6" s="1"/>
      <c r="S6" s="1"/>
      <c r="T6" s="1"/>
      <c r="U6" s="1"/>
      <c r="V6" s="1"/>
      <c r="W6" s="1"/>
      <c r="X6" s="1"/>
      <c r="Y6" s="1"/>
      <c r="Z6" s="1"/>
    </row>
    <row r="7" spans="1:26" ht="12.75" customHeight="1">
      <c r="A7" s="1"/>
      <c r="B7" s="1"/>
      <c r="C7" s="6" t="s">
        <v>8</v>
      </c>
      <c r="D7" s="6" t="s">
        <v>9</v>
      </c>
      <c r="E7" s="1" t="str">
        <f>PROPER(D7)</f>
        <v>#16/26 17/27, Industrial Area, Dehlon-Sahnewal Road, Paddi</v>
      </c>
      <c r="F7" s="1"/>
      <c r="G7" s="1"/>
      <c r="H7" s="1"/>
      <c r="I7" s="1"/>
      <c r="J7" s="1"/>
      <c r="K7" s="1"/>
      <c r="L7" s="1"/>
      <c r="M7" s="1"/>
      <c r="N7" s="1"/>
      <c r="O7" s="1"/>
      <c r="P7" s="1"/>
      <c r="Q7" s="1"/>
      <c r="R7" s="1"/>
      <c r="S7" s="1"/>
      <c r="T7" s="1"/>
      <c r="U7" s="1"/>
      <c r="V7" s="1"/>
      <c r="W7" s="1"/>
      <c r="X7" s="1"/>
      <c r="Y7" s="1"/>
      <c r="Z7" s="1"/>
    </row>
    <row r="8" spans="1:26" ht="12.75" customHeight="1">
      <c r="A8" s="1"/>
      <c r="B8" s="1"/>
      <c r="C8" s="7" t="s">
        <v>10</v>
      </c>
      <c r="D8" s="6" t="s">
        <v>11</v>
      </c>
      <c r="E8" s="1"/>
      <c r="F8" s="1"/>
      <c r="G8" s="1"/>
      <c r="H8" s="1"/>
      <c r="I8" s="1"/>
      <c r="J8" s="1"/>
      <c r="K8" s="1"/>
      <c r="L8" s="1"/>
      <c r="M8" s="1"/>
      <c r="N8" s="1"/>
      <c r="O8" s="1"/>
      <c r="P8" s="1"/>
      <c r="Q8" s="1"/>
      <c r="R8" s="1"/>
      <c r="S8" s="1"/>
      <c r="T8" s="1"/>
      <c r="U8" s="1"/>
      <c r="V8" s="1"/>
      <c r="W8" s="1"/>
      <c r="X8" s="1"/>
      <c r="Y8" s="1"/>
      <c r="Z8" s="1"/>
    </row>
    <row r="9" spans="1:26" ht="12.75" customHeight="1">
      <c r="A9" s="1"/>
      <c r="B9" s="1"/>
      <c r="C9" s="7" t="s">
        <v>12</v>
      </c>
      <c r="D9" s="6" t="s">
        <v>13</v>
      </c>
      <c r="E9" s="1"/>
      <c r="F9" s="1"/>
      <c r="G9" s="1"/>
      <c r="H9" s="1"/>
      <c r="I9" s="1"/>
      <c r="J9" s="1"/>
      <c r="K9" s="1"/>
      <c r="L9" s="1"/>
      <c r="M9" s="1"/>
      <c r="N9" s="1"/>
      <c r="O9" s="1"/>
      <c r="P9" s="1"/>
      <c r="Q9" s="1"/>
      <c r="R9" s="1"/>
      <c r="S9" s="1"/>
      <c r="T9" s="1"/>
      <c r="U9" s="1"/>
      <c r="V9" s="1"/>
      <c r="W9" s="1"/>
      <c r="X9" s="1"/>
      <c r="Y9" s="1"/>
      <c r="Z9" s="1"/>
    </row>
    <row r="10" spans="1:26" ht="12.75" customHeight="1">
      <c r="A10" s="1"/>
      <c r="B10" s="1"/>
      <c r="C10" s="7" t="s">
        <v>14</v>
      </c>
      <c r="D10" s="6">
        <v>141206</v>
      </c>
      <c r="E10" s="1"/>
      <c r="F10" s="1"/>
      <c r="G10" s="1"/>
      <c r="H10" s="1"/>
      <c r="I10" s="1"/>
      <c r="J10" s="1"/>
      <c r="K10" s="1"/>
      <c r="L10" s="1"/>
      <c r="M10" s="1"/>
      <c r="N10" s="1"/>
      <c r="O10" s="1"/>
      <c r="P10" s="1"/>
      <c r="Q10" s="1"/>
      <c r="R10" s="1"/>
      <c r="S10" s="1"/>
      <c r="T10" s="1"/>
      <c r="U10" s="1"/>
      <c r="V10" s="1"/>
      <c r="W10" s="1"/>
      <c r="X10" s="1"/>
      <c r="Y10" s="1"/>
      <c r="Z10" s="1"/>
    </row>
    <row r="11" spans="1:26" ht="12.75" customHeight="1">
      <c r="A11" s="1"/>
      <c r="B11" s="1"/>
      <c r="C11" s="6" t="s">
        <v>15</v>
      </c>
      <c r="D11" s="6" t="s">
        <v>16</v>
      </c>
      <c r="E11" s="1"/>
      <c r="F11" s="1"/>
      <c r="G11" s="1"/>
      <c r="H11" s="1"/>
      <c r="I11" s="1"/>
      <c r="J11" s="1"/>
      <c r="K11" s="1"/>
      <c r="L11" s="1"/>
      <c r="M11" s="1"/>
      <c r="N11" s="1"/>
      <c r="O11" s="1"/>
      <c r="P11" s="1"/>
      <c r="Q11" s="1"/>
      <c r="R11" s="1"/>
      <c r="S11" s="1"/>
      <c r="T11" s="1"/>
      <c r="U11" s="1"/>
      <c r="V11" s="1"/>
      <c r="W11" s="1"/>
      <c r="X11" s="1"/>
      <c r="Y11" s="1"/>
      <c r="Z11" s="1"/>
    </row>
    <row r="12" spans="1:26" ht="12.75" customHeight="1">
      <c r="A12" s="1"/>
      <c r="B12" s="1"/>
      <c r="C12" s="6" t="s">
        <v>17</v>
      </c>
      <c r="D12" s="6" t="s">
        <v>18</v>
      </c>
      <c r="E12" s="8" t="s">
        <v>19</v>
      </c>
      <c r="F12" s="1"/>
      <c r="G12" s="1"/>
      <c r="H12" s="1"/>
      <c r="I12" s="1"/>
      <c r="J12" s="1"/>
      <c r="K12" s="1"/>
      <c r="L12" s="1"/>
      <c r="M12" s="1"/>
      <c r="N12" s="1"/>
      <c r="O12" s="1"/>
      <c r="P12" s="1"/>
      <c r="Q12" s="1"/>
      <c r="R12" s="1"/>
      <c r="S12" s="1"/>
      <c r="T12" s="1"/>
      <c r="U12" s="1"/>
      <c r="V12" s="1"/>
      <c r="W12" s="1"/>
      <c r="X12" s="1"/>
      <c r="Y12" s="1"/>
      <c r="Z12" s="1"/>
    </row>
    <row r="13" spans="1:26" ht="12.75" customHeight="1">
      <c r="A13" s="1"/>
      <c r="B13" s="1"/>
      <c r="C13" s="6" t="s">
        <v>20</v>
      </c>
      <c r="D13" s="9">
        <v>45017</v>
      </c>
      <c r="E13" s="9" t="s">
        <v>21</v>
      </c>
      <c r="F13" s="1"/>
      <c r="G13" s="1"/>
      <c r="H13" s="1"/>
      <c r="I13" s="1"/>
      <c r="J13" s="1"/>
      <c r="K13" s="1"/>
      <c r="L13" s="1"/>
      <c r="M13" s="1"/>
      <c r="N13" s="1"/>
      <c r="O13" s="1"/>
      <c r="P13" s="1"/>
      <c r="Q13" s="1"/>
      <c r="R13" s="1"/>
      <c r="S13" s="1"/>
      <c r="T13" s="1"/>
      <c r="U13" s="1"/>
      <c r="V13" s="1"/>
      <c r="W13" s="1"/>
      <c r="X13" s="1"/>
      <c r="Y13" s="1"/>
      <c r="Z13" s="1"/>
    </row>
    <row r="14" spans="1:26" ht="12.75" customHeight="1">
      <c r="A14" s="1"/>
      <c r="B14" s="1"/>
      <c r="C14" s="6" t="s">
        <v>22</v>
      </c>
      <c r="D14" s="9">
        <v>45382</v>
      </c>
      <c r="E14" s="9" t="s">
        <v>23</v>
      </c>
      <c r="F14" s="1"/>
      <c r="G14" s="1"/>
      <c r="H14" s="1"/>
      <c r="I14" s="1"/>
      <c r="J14" s="1"/>
      <c r="K14" s="1"/>
      <c r="L14" s="1"/>
      <c r="M14" s="1"/>
      <c r="N14" s="1"/>
      <c r="O14" s="1"/>
      <c r="P14" s="1"/>
      <c r="Q14" s="1"/>
      <c r="R14" s="1"/>
      <c r="S14" s="1"/>
      <c r="T14" s="1"/>
      <c r="U14" s="1"/>
      <c r="V14" s="1"/>
      <c r="W14" s="1"/>
      <c r="X14" s="1"/>
      <c r="Y14" s="1"/>
      <c r="Z14" s="1"/>
    </row>
    <row r="15" spans="1:26" ht="12.75" customHeight="1">
      <c r="A15" s="1"/>
      <c r="B15" s="1"/>
      <c r="C15" s="6" t="s">
        <v>24</v>
      </c>
      <c r="D15" s="6" t="s">
        <v>25</v>
      </c>
      <c r="E15" s="1" t="s">
        <v>26</v>
      </c>
      <c r="F15" s="1" t="s">
        <v>27</v>
      </c>
      <c r="G15" s="1"/>
      <c r="H15" s="1"/>
      <c r="I15" s="1"/>
      <c r="J15" s="1"/>
      <c r="K15" s="1"/>
      <c r="L15" s="1"/>
      <c r="M15" s="1"/>
      <c r="N15" s="1"/>
      <c r="O15" s="1"/>
      <c r="P15" s="1"/>
      <c r="Q15" s="1"/>
      <c r="R15" s="1"/>
      <c r="S15" s="1"/>
      <c r="T15" s="1"/>
      <c r="U15" s="1"/>
      <c r="V15" s="1"/>
      <c r="W15" s="1"/>
      <c r="X15" s="1"/>
      <c r="Y15" s="1"/>
      <c r="Z15" s="1"/>
    </row>
    <row r="16" spans="1:26" ht="12.75" customHeight="1">
      <c r="A16" s="1"/>
      <c r="B16" s="1"/>
      <c r="C16" s="6" t="s">
        <v>28</v>
      </c>
      <c r="D16" s="6" t="s">
        <v>29</v>
      </c>
      <c r="E16" s="1" t="s">
        <v>30</v>
      </c>
      <c r="F16" s="1" t="s">
        <v>31</v>
      </c>
      <c r="G16" s="1"/>
      <c r="H16" s="1"/>
      <c r="I16" s="1"/>
      <c r="J16" s="1"/>
      <c r="K16" s="1"/>
      <c r="L16" s="1"/>
      <c r="M16" s="1"/>
      <c r="N16" s="1"/>
      <c r="O16" s="1"/>
      <c r="P16" s="1"/>
      <c r="Q16" s="1"/>
      <c r="R16" s="1"/>
      <c r="S16" s="1"/>
      <c r="T16" s="1"/>
      <c r="U16" s="1"/>
      <c r="V16" s="1"/>
      <c r="W16" s="1"/>
      <c r="X16" s="1"/>
      <c r="Y16" s="1"/>
      <c r="Z16" s="1"/>
    </row>
    <row r="17" spans="1:26" ht="12.75" customHeight="1">
      <c r="A17" s="1"/>
      <c r="B17" s="1"/>
      <c r="C17" s="6" t="s">
        <v>32</v>
      </c>
      <c r="D17" s="6" t="s">
        <v>11</v>
      </c>
      <c r="E17" s="1"/>
      <c r="F17" s="1"/>
      <c r="G17" s="1"/>
      <c r="H17" s="1"/>
      <c r="I17" s="1"/>
      <c r="J17" s="1"/>
      <c r="K17" s="1"/>
      <c r="L17" s="1"/>
      <c r="M17" s="1"/>
      <c r="N17" s="1"/>
      <c r="O17" s="1"/>
      <c r="P17" s="1"/>
      <c r="Q17" s="1"/>
      <c r="R17" s="1"/>
      <c r="S17" s="1"/>
      <c r="T17" s="1"/>
      <c r="U17" s="1"/>
      <c r="V17" s="1"/>
      <c r="W17" s="1"/>
      <c r="X17" s="1"/>
      <c r="Y17" s="1"/>
      <c r="Z17" s="1"/>
    </row>
    <row r="18" spans="1:26" ht="12.75" customHeight="1">
      <c r="A18" s="1"/>
      <c r="B18" s="1"/>
      <c r="C18" s="6" t="s">
        <v>33</v>
      </c>
      <c r="D18" s="6" t="s">
        <v>34</v>
      </c>
      <c r="E18" s="1"/>
      <c r="F18" s="1"/>
      <c r="G18" s="1"/>
      <c r="H18" s="1"/>
      <c r="I18" s="1"/>
      <c r="J18" s="1"/>
      <c r="K18" s="1"/>
      <c r="L18" s="1"/>
      <c r="M18" s="1"/>
      <c r="N18" s="1"/>
      <c r="O18" s="1"/>
      <c r="P18" s="1"/>
      <c r="Q18" s="1"/>
      <c r="R18" s="1"/>
      <c r="S18" s="1"/>
      <c r="T18" s="1"/>
      <c r="U18" s="1"/>
      <c r="V18" s="1"/>
      <c r="W18" s="1"/>
      <c r="X18" s="1"/>
      <c r="Y18" s="1"/>
      <c r="Z18" s="1"/>
    </row>
    <row r="19" spans="1:26" ht="12.75" customHeight="1">
      <c r="A19" s="1"/>
      <c r="B19" s="1"/>
      <c r="C19" s="6" t="s">
        <v>35</v>
      </c>
      <c r="D19" s="9" t="s">
        <v>36</v>
      </c>
      <c r="E19" s="10"/>
      <c r="F19" s="1"/>
      <c r="G19" s="1"/>
      <c r="H19" s="1"/>
      <c r="I19" s="1"/>
      <c r="J19" s="1"/>
      <c r="K19" s="1"/>
      <c r="L19" s="1"/>
      <c r="M19" s="1"/>
      <c r="N19" s="1"/>
      <c r="O19" s="1"/>
      <c r="P19" s="1"/>
      <c r="Q19" s="1"/>
      <c r="R19" s="1"/>
      <c r="S19" s="1"/>
      <c r="T19" s="1"/>
      <c r="U19" s="1"/>
      <c r="V19" s="1"/>
      <c r="W19" s="1"/>
      <c r="X19" s="1"/>
      <c r="Y19" s="1"/>
      <c r="Z19" s="1"/>
    </row>
    <row r="20" spans="1:26" ht="12.75" customHeight="1">
      <c r="A20" s="1"/>
      <c r="B20" s="1"/>
      <c r="C20" s="6" t="s">
        <v>37</v>
      </c>
      <c r="D20" s="11" t="s">
        <v>38</v>
      </c>
      <c r="E20" s="10"/>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6" t="s">
        <v>39</v>
      </c>
      <c r="D21" s="12" t="s">
        <v>40</v>
      </c>
      <c r="E21" s="10"/>
      <c r="F21" s="1"/>
      <c r="G21" s="1"/>
      <c r="H21" s="1"/>
      <c r="I21" s="1"/>
      <c r="J21" s="1"/>
      <c r="K21" s="1"/>
      <c r="L21" s="1"/>
      <c r="M21" s="1"/>
      <c r="N21" s="1"/>
      <c r="O21" s="1"/>
      <c r="P21" s="1"/>
      <c r="Q21" s="1"/>
      <c r="R21" s="1"/>
      <c r="S21" s="1"/>
      <c r="T21" s="1"/>
      <c r="U21" s="1"/>
      <c r="V21" s="1"/>
      <c r="W21" s="1"/>
      <c r="X21" s="1"/>
      <c r="Y21" s="1"/>
      <c r="Z21" s="1"/>
    </row>
    <row r="22" spans="1:26" ht="12.75" customHeight="1">
      <c r="A22" s="1"/>
      <c r="B22" s="1"/>
      <c r="C22" s="6" t="s">
        <v>41</v>
      </c>
      <c r="D22" s="12" t="s">
        <v>40</v>
      </c>
      <c r="E22" s="10"/>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6" t="s">
        <v>42</v>
      </c>
      <c r="D23" s="12" t="s">
        <v>40</v>
      </c>
      <c r="E23" s="10"/>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6" t="s">
        <v>37</v>
      </c>
      <c r="D24" s="11"/>
      <c r="E24" s="10"/>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6"/>
      <c r="D25" s="1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6"/>
      <c r="D26" s="1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21" customHeight="1">
      <c r="A28" s="1"/>
      <c r="B28" s="13" t="s">
        <v>43</v>
      </c>
      <c r="C28" s="13" t="s">
        <v>44</v>
      </c>
      <c r="D28" s="13" t="s">
        <v>45</v>
      </c>
      <c r="E28" s="13" t="s">
        <v>46</v>
      </c>
      <c r="F28" s="1"/>
      <c r="G28" s="1"/>
      <c r="H28" s="1"/>
      <c r="I28" s="1"/>
      <c r="J28" s="1"/>
      <c r="K28" s="1"/>
      <c r="L28" s="1"/>
      <c r="M28" s="1"/>
      <c r="N28" s="1"/>
      <c r="O28" s="1"/>
      <c r="P28" s="1"/>
      <c r="Q28" s="1"/>
      <c r="R28" s="1"/>
      <c r="S28" s="1"/>
      <c r="T28" s="1"/>
      <c r="U28" s="1"/>
      <c r="V28" s="1"/>
      <c r="W28" s="1"/>
      <c r="X28" s="1"/>
      <c r="Y28" s="1"/>
      <c r="Z28" s="1"/>
    </row>
    <row r="29" spans="1:26" ht="12.75" customHeight="1">
      <c r="A29" s="1"/>
      <c r="B29" s="14"/>
      <c r="C29" s="14"/>
      <c r="D29" s="14"/>
      <c r="E29" s="14"/>
      <c r="F29" s="1"/>
      <c r="G29" s="1"/>
      <c r="H29" s="1"/>
      <c r="I29" s="1"/>
      <c r="J29" s="1"/>
      <c r="K29" s="1"/>
      <c r="L29" s="1"/>
      <c r="M29" s="1"/>
      <c r="N29" s="1"/>
      <c r="O29" s="1"/>
      <c r="P29" s="1"/>
      <c r="Q29" s="1"/>
      <c r="R29" s="1"/>
      <c r="S29" s="1"/>
      <c r="T29" s="1"/>
      <c r="U29" s="1"/>
      <c r="V29" s="1"/>
      <c r="W29" s="1"/>
      <c r="X29" s="1"/>
      <c r="Y29" s="1"/>
      <c r="Z29" s="1"/>
    </row>
    <row r="30" spans="1:26" ht="12.75" customHeight="1">
      <c r="A30" s="1"/>
      <c r="B30" s="15" t="s">
        <v>47</v>
      </c>
      <c r="C30" s="15" t="s">
        <v>48</v>
      </c>
      <c r="D30" s="15" t="s">
        <v>49</v>
      </c>
      <c r="E30" s="15" t="s">
        <v>50</v>
      </c>
      <c r="F30" s="1"/>
      <c r="G30" s="1"/>
      <c r="H30" s="1"/>
      <c r="I30" s="1"/>
      <c r="J30" s="1"/>
      <c r="K30" s="1"/>
      <c r="L30" s="1"/>
      <c r="M30" s="1"/>
      <c r="N30" s="1"/>
      <c r="O30" s="1"/>
      <c r="P30" s="1"/>
      <c r="Q30" s="1"/>
      <c r="R30" s="1"/>
      <c r="S30" s="1"/>
      <c r="T30" s="1"/>
      <c r="U30" s="1"/>
      <c r="V30" s="1"/>
      <c r="W30" s="1"/>
      <c r="X30" s="1"/>
      <c r="Y30" s="1"/>
      <c r="Z30" s="1"/>
    </row>
    <row r="31" spans="1:26" ht="12.75" customHeight="1">
      <c r="A31" s="1"/>
      <c r="B31" s="15"/>
      <c r="C31" s="15"/>
      <c r="D31" s="15"/>
      <c r="E31" s="15"/>
      <c r="F31" s="1"/>
      <c r="G31" s="1"/>
      <c r="H31" s="1"/>
      <c r="I31" s="1"/>
      <c r="J31" s="1"/>
      <c r="K31" s="1"/>
      <c r="L31" s="1"/>
      <c r="M31" s="1"/>
      <c r="N31" s="1"/>
      <c r="O31" s="1"/>
      <c r="P31" s="1"/>
      <c r="Q31" s="1"/>
      <c r="R31" s="1"/>
      <c r="S31" s="1"/>
      <c r="T31" s="1"/>
      <c r="U31" s="1"/>
      <c r="V31" s="1"/>
      <c r="W31" s="1"/>
      <c r="X31" s="1"/>
      <c r="Y31" s="1"/>
      <c r="Z31" s="1"/>
    </row>
    <row r="32" spans="1:26" ht="12.75" customHeight="1">
      <c r="A32" s="1"/>
      <c r="B32" s="15" t="s">
        <v>51</v>
      </c>
      <c r="C32" s="15" t="s">
        <v>52</v>
      </c>
      <c r="D32" s="15" t="s">
        <v>53</v>
      </c>
      <c r="E32" s="15" t="s">
        <v>54</v>
      </c>
      <c r="F32" s="1"/>
      <c r="G32" s="1"/>
      <c r="H32" s="1"/>
      <c r="I32" s="1"/>
      <c r="J32" s="1"/>
      <c r="K32" s="1"/>
      <c r="L32" s="1"/>
      <c r="M32" s="1"/>
      <c r="N32" s="1"/>
      <c r="O32" s="1"/>
      <c r="P32" s="1"/>
      <c r="Q32" s="1"/>
      <c r="R32" s="1"/>
      <c r="S32" s="1"/>
      <c r="T32" s="1"/>
      <c r="U32" s="1"/>
      <c r="V32" s="1"/>
      <c r="W32" s="1"/>
      <c r="X32" s="1"/>
      <c r="Y32" s="1"/>
      <c r="Z32" s="1"/>
    </row>
    <row r="33" spans="1:26" ht="12.75" customHeight="1">
      <c r="A33" s="1"/>
      <c r="B33" s="15"/>
      <c r="C33" s="15"/>
      <c r="D33" s="16"/>
      <c r="E33" s="15"/>
      <c r="F33" s="1"/>
      <c r="G33" s="1"/>
      <c r="H33" s="1"/>
      <c r="I33" s="1"/>
      <c r="J33" s="1"/>
      <c r="K33" s="1"/>
      <c r="L33" s="1"/>
      <c r="M33" s="1"/>
      <c r="N33" s="1"/>
      <c r="O33" s="1"/>
      <c r="P33" s="1"/>
      <c r="Q33" s="1"/>
      <c r="R33" s="1"/>
      <c r="S33" s="1"/>
      <c r="T33" s="1"/>
      <c r="U33" s="1"/>
      <c r="V33" s="1"/>
      <c r="W33" s="1"/>
      <c r="X33" s="1"/>
      <c r="Y33" s="1"/>
      <c r="Z33" s="1"/>
    </row>
    <row r="34" spans="1:26" ht="12.75" customHeight="1">
      <c r="A34" s="1"/>
      <c r="B34" s="15"/>
      <c r="C34" s="15"/>
      <c r="D34" s="16"/>
      <c r="E34" s="15"/>
      <c r="F34" s="1"/>
      <c r="G34" s="1"/>
      <c r="H34" s="1"/>
      <c r="I34" s="1"/>
      <c r="J34" s="1"/>
      <c r="K34" s="1"/>
      <c r="L34" s="1"/>
      <c r="M34" s="1"/>
      <c r="N34" s="1"/>
      <c r="O34" s="1"/>
      <c r="P34" s="1"/>
      <c r="Q34" s="1"/>
      <c r="R34" s="1"/>
      <c r="S34" s="1"/>
      <c r="T34" s="1"/>
      <c r="U34" s="1"/>
      <c r="V34" s="1"/>
      <c r="W34" s="1"/>
      <c r="X34" s="1"/>
      <c r="Y34" s="1"/>
      <c r="Z34" s="1"/>
    </row>
    <row r="35" spans="1:26" ht="12.75" customHeight="1">
      <c r="A35" s="1"/>
      <c r="B35" s="15" t="s">
        <v>55</v>
      </c>
      <c r="C35" s="15" t="s">
        <v>56</v>
      </c>
      <c r="D35" s="16" t="s">
        <v>57</v>
      </c>
      <c r="E35" s="15" t="s">
        <v>58</v>
      </c>
      <c r="F35" s="1"/>
      <c r="G35" s="1"/>
      <c r="H35" s="1"/>
      <c r="I35" s="1"/>
      <c r="J35" s="1"/>
      <c r="K35" s="1"/>
      <c r="L35" s="1"/>
      <c r="M35" s="1"/>
      <c r="N35" s="1"/>
      <c r="O35" s="1"/>
      <c r="P35" s="1"/>
      <c r="Q35" s="1"/>
      <c r="R35" s="1"/>
      <c r="S35" s="1"/>
      <c r="T35" s="1"/>
      <c r="U35" s="1"/>
      <c r="V35" s="1"/>
      <c r="W35" s="1"/>
      <c r="X35" s="1"/>
      <c r="Y35" s="1"/>
      <c r="Z35" s="1"/>
    </row>
    <row r="36" spans="1:26" ht="12.75" customHeight="1">
      <c r="A36" s="1"/>
      <c r="B36" s="15"/>
      <c r="C36" s="15"/>
      <c r="D36" s="16"/>
      <c r="E36" s="15"/>
      <c r="F36" s="1"/>
      <c r="G36" s="1"/>
      <c r="H36" s="1"/>
      <c r="I36" s="1"/>
      <c r="J36" s="1"/>
      <c r="K36" s="1"/>
      <c r="L36" s="1"/>
      <c r="M36" s="1"/>
      <c r="N36" s="1"/>
      <c r="O36" s="1"/>
      <c r="P36" s="1"/>
      <c r="Q36" s="1"/>
      <c r="R36" s="1"/>
      <c r="S36" s="1"/>
      <c r="T36" s="1"/>
      <c r="U36" s="1"/>
      <c r="V36" s="1"/>
      <c r="W36" s="1"/>
      <c r="X36" s="1"/>
      <c r="Y36" s="1"/>
      <c r="Z36" s="1"/>
    </row>
    <row r="37" spans="1:26" ht="12.75" customHeight="1">
      <c r="A37" s="1"/>
      <c r="B37" s="15" t="s">
        <v>59</v>
      </c>
      <c r="C37" s="17"/>
      <c r="D37" s="15" t="s">
        <v>60</v>
      </c>
      <c r="E37" s="15" t="s">
        <v>61</v>
      </c>
      <c r="F37" s="1"/>
      <c r="G37" s="1"/>
      <c r="H37" s="1"/>
      <c r="I37" s="1"/>
      <c r="J37" s="1"/>
      <c r="K37" s="1"/>
      <c r="L37" s="1"/>
      <c r="M37" s="1"/>
      <c r="N37" s="1"/>
      <c r="O37" s="1"/>
      <c r="P37" s="1"/>
      <c r="Q37" s="1"/>
      <c r="R37" s="1"/>
      <c r="S37" s="1"/>
      <c r="T37" s="1"/>
      <c r="U37" s="1"/>
      <c r="V37" s="1"/>
      <c r="W37" s="1"/>
      <c r="X37" s="1"/>
      <c r="Y37" s="1"/>
      <c r="Z37" s="1"/>
    </row>
    <row r="38" spans="1:26" ht="12.75" customHeight="1">
      <c r="A38" s="1"/>
      <c r="B38" s="15"/>
      <c r="C38" s="17"/>
      <c r="D38" s="15"/>
      <c r="E38" s="15"/>
      <c r="F38" s="1"/>
      <c r="G38" s="1"/>
      <c r="H38" s="1"/>
      <c r="I38" s="1"/>
      <c r="J38" s="1"/>
      <c r="K38" s="1"/>
      <c r="L38" s="1"/>
      <c r="M38" s="1"/>
      <c r="N38" s="1"/>
      <c r="O38" s="1"/>
      <c r="P38" s="1"/>
      <c r="Q38" s="1"/>
      <c r="R38" s="1"/>
      <c r="S38" s="1"/>
      <c r="T38" s="1"/>
      <c r="U38" s="1"/>
      <c r="V38" s="1"/>
      <c r="W38" s="1"/>
      <c r="X38" s="1"/>
      <c r="Y38" s="1"/>
      <c r="Z38" s="1"/>
    </row>
    <row r="39" spans="1:26" ht="12.75" customHeight="1">
      <c r="A39" s="1"/>
      <c r="B39" s="15" t="s">
        <v>62</v>
      </c>
      <c r="C39" s="17"/>
      <c r="D39" s="15" t="s">
        <v>63</v>
      </c>
      <c r="E39" s="15"/>
      <c r="F39" s="1"/>
      <c r="G39" s="1"/>
      <c r="H39" s="1"/>
      <c r="I39" s="1"/>
      <c r="J39" s="1"/>
      <c r="K39" s="1"/>
      <c r="L39" s="1"/>
      <c r="M39" s="1"/>
      <c r="N39" s="1"/>
      <c r="O39" s="1"/>
      <c r="P39" s="1"/>
      <c r="Q39" s="1"/>
      <c r="R39" s="1"/>
      <c r="S39" s="1"/>
      <c r="T39" s="1"/>
      <c r="U39" s="1"/>
      <c r="V39" s="1"/>
      <c r="W39" s="1"/>
      <c r="X39" s="1"/>
      <c r="Y39" s="1"/>
      <c r="Z39" s="1"/>
    </row>
    <row r="40" spans="1:26" ht="12.75" customHeight="1">
      <c r="A40" s="1"/>
      <c r="B40" s="15"/>
      <c r="C40" s="17"/>
      <c r="D40" s="15"/>
      <c r="E40" s="15"/>
      <c r="F40" s="1"/>
      <c r="G40" s="1"/>
      <c r="H40" s="1"/>
      <c r="I40" s="1"/>
      <c r="J40" s="1"/>
      <c r="K40" s="1"/>
      <c r="L40" s="1"/>
      <c r="M40" s="1"/>
      <c r="N40" s="1"/>
      <c r="O40" s="1"/>
      <c r="P40" s="1"/>
      <c r="Q40" s="1"/>
      <c r="R40" s="1"/>
      <c r="S40" s="1"/>
      <c r="T40" s="1"/>
      <c r="U40" s="1"/>
      <c r="V40" s="1"/>
      <c r="W40" s="1"/>
      <c r="X40" s="1"/>
      <c r="Y40" s="1"/>
      <c r="Z40" s="1"/>
    </row>
    <row r="41" spans="1:26" ht="12.75" customHeight="1">
      <c r="A41" s="1"/>
      <c r="B41" s="17"/>
      <c r="C41" s="17"/>
      <c r="D41" s="15" t="s">
        <v>64</v>
      </c>
      <c r="E41" s="15"/>
      <c r="F41" s="1"/>
      <c r="G41" s="1"/>
      <c r="H41" s="1"/>
      <c r="I41" s="1"/>
      <c r="J41" s="1"/>
      <c r="K41" s="1"/>
      <c r="L41" s="1"/>
      <c r="M41" s="1"/>
      <c r="N41" s="1"/>
      <c r="O41" s="1"/>
      <c r="P41" s="1"/>
      <c r="Q41" s="1"/>
      <c r="R41" s="1"/>
      <c r="S41" s="1"/>
      <c r="T41" s="1"/>
      <c r="U41" s="1"/>
      <c r="V41" s="1"/>
      <c r="W41" s="1"/>
      <c r="X41" s="1"/>
      <c r="Y41" s="1"/>
      <c r="Z41" s="1"/>
    </row>
    <row r="42" spans="1:26" ht="12.75" customHeight="1">
      <c r="A42" s="1"/>
      <c r="B42" s="17"/>
      <c r="C42" s="17"/>
      <c r="D42" s="15"/>
      <c r="E42" s="15"/>
      <c r="F42" s="1"/>
      <c r="G42" s="1"/>
      <c r="H42" s="1"/>
      <c r="I42" s="1"/>
      <c r="J42" s="1"/>
      <c r="K42" s="1"/>
      <c r="L42" s="1"/>
      <c r="M42" s="1"/>
      <c r="N42" s="1"/>
      <c r="O42" s="1"/>
      <c r="P42" s="1"/>
      <c r="Q42" s="1"/>
      <c r="R42" s="1"/>
      <c r="S42" s="1"/>
      <c r="T42" s="1"/>
      <c r="U42" s="1"/>
      <c r="V42" s="1"/>
      <c r="W42" s="1"/>
      <c r="X42" s="1"/>
      <c r="Y42" s="1"/>
      <c r="Z42" s="1"/>
    </row>
    <row r="43" spans="1:26" ht="12.75" customHeight="1">
      <c r="A43" s="1"/>
      <c r="B43" s="17"/>
      <c r="C43" s="17"/>
      <c r="D43" s="15" t="s">
        <v>65</v>
      </c>
      <c r="E43" s="17"/>
      <c r="F43" s="1"/>
      <c r="G43" s="1"/>
      <c r="H43" s="1"/>
      <c r="I43" s="1"/>
      <c r="J43" s="1"/>
      <c r="K43" s="1"/>
      <c r="L43" s="1"/>
      <c r="M43" s="1"/>
      <c r="N43" s="1"/>
      <c r="O43" s="1"/>
      <c r="P43" s="1"/>
      <c r="Q43" s="1"/>
      <c r="R43" s="1"/>
      <c r="S43" s="1"/>
      <c r="T43" s="1"/>
      <c r="U43" s="1"/>
      <c r="V43" s="1"/>
      <c r="W43" s="1"/>
      <c r="X43" s="1"/>
      <c r="Y43" s="1"/>
      <c r="Z43" s="1"/>
    </row>
    <row r="44" spans="1:26" ht="12.75" customHeight="1">
      <c r="A44" s="1"/>
      <c r="B44" s="17"/>
      <c r="C44" s="17"/>
      <c r="D44" s="15"/>
      <c r="E44" s="17"/>
      <c r="F44" s="1"/>
      <c r="G44" s="1"/>
      <c r="H44" s="1"/>
      <c r="I44" s="1"/>
      <c r="J44" s="1"/>
      <c r="K44" s="1"/>
      <c r="L44" s="1"/>
      <c r="M44" s="1"/>
      <c r="N44" s="1"/>
      <c r="O44" s="1"/>
      <c r="P44" s="1"/>
      <c r="Q44" s="1"/>
      <c r="R44" s="1"/>
      <c r="S44" s="1"/>
      <c r="T44" s="1"/>
      <c r="U44" s="1"/>
      <c r="V44" s="1"/>
      <c r="W44" s="1"/>
      <c r="X44" s="1"/>
      <c r="Y44" s="1"/>
      <c r="Z44" s="1"/>
    </row>
    <row r="45" spans="1:26" ht="12.75" customHeight="1">
      <c r="A45" s="1"/>
      <c r="B45" s="17"/>
      <c r="C45" s="17"/>
      <c r="D45" s="15" t="s">
        <v>62</v>
      </c>
      <c r="E45" s="17"/>
      <c r="F45" s="1"/>
      <c r="G45" s="1"/>
      <c r="H45" s="1"/>
      <c r="I45" s="1"/>
      <c r="J45" s="1"/>
      <c r="K45" s="1"/>
      <c r="L45" s="1"/>
      <c r="M45" s="1"/>
      <c r="N45" s="1"/>
      <c r="O45" s="1"/>
      <c r="P45" s="1"/>
      <c r="Q45" s="1"/>
      <c r="R45" s="1"/>
      <c r="S45" s="1"/>
      <c r="T45" s="1"/>
      <c r="U45" s="1"/>
      <c r="V45" s="1"/>
      <c r="W45" s="1"/>
      <c r="X45" s="1"/>
      <c r="Y45" s="1"/>
      <c r="Z45" s="1"/>
    </row>
    <row r="46" spans="1:26" ht="12.75" customHeight="1">
      <c r="A46" s="1"/>
      <c r="B46" s="18"/>
      <c r="C46" s="18"/>
      <c r="D46" s="18"/>
      <c r="E46" s="18"/>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9" t="s">
        <v>66</v>
      </c>
      <c r="D48" s="20"/>
      <c r="E48" s="20"/>
      <c r="F48" s="20"/>
      <c r="G48" s="20"/>
      <c r="H48" s="1"/>
      <c r="I48" s="1"/>
      <c r="J48" s="1"/>
      <c r="K48" s="1"/>
      <c r="L48" s="1"/>
      <c r="M48" s="1"/>
      <c r="N48" s="1"/>
      <c r="O48" s="1"/>
      <c r="P48" s="1"/>
      <c r="Q48" s="1"/>
      <c r="R48" s="1"/>
      <c r="S48" s="1"/>
      <c r="T48" s="1"/>
      <c r="U48" s="1"/>
      <c r="V48" s="1"/>
      <c r="W48" s="1"/>
      <c r="X48" s="1"/>
      <c r="Y48" s="1"/>
      <c r="Z48" s="1"/>
    </row>
    <row r="49" spans="1:26" ht="12.75" customHeight="1">
      <c r="A49" s="1"/>
      <c r="B49" s="1"/>
      <c r="C49" s="20"/>
      <c r="D49" s="20"/>
      <c r="E49" s="20"/>
      <c r="F49" s="20"/>
      <c r="G49" s="20"/>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6" t="s">
        <v>2</v>
      </c>
      <c r="D51" s="21" t="s">
        <v>67</v>
      </c>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6"/>
      <c r="D52" s="21" t="s">
        <v>68</v>
      </c>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6" t="s">
        <v>69</v>
      </c>
      <c r="D53" s="21" t="s">
        <v>70</v>
      </c>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6" t="s">
        <v>10</v>
      </c>
      <c r="D54" s="21" t="s">
        <v>11</v>
      </c>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6" t="s">
        <v>12</v>
      </c>
      <c r="D55" s="21" t="s">
        <v>13</v>
      </c>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6" t="s">
        <v>14</v>
      </c>
      <c r="D56" s="21">
        <v>141013</v>
      </c>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6" t="s">
        <v>71</v>
      </c>
      <c r="D57" s="21" t="s">
        <v>72</v>
      </c>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6" t="s">
        <v>73</v>
      </c>
      <c r="D58" s="21" t="s">
        <v>74</v>
      </c>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6" t="s">
        <v>75</v>
      </c>
      <c r="D59" s="22" t="s">
        <v>76</v>
      </c>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6" t="s">
        <v>77</v>
      </c>
      <c r="D60" s="21" t="s">
        <v>78</v>
      </c>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6" t="s">
        <v>79</v>
      </c>
      <c r="D61" s="22" t="s">
        <v>80</v>
      </c>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6" t="s">
        <v>6</v>
      </c>
      <c r="D62" s="22" t="s">
        <v>81</v>
      </c>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6" t="s">
        <v>82</v>
      </c>
      <c r="D63" s="23" t="s">
        <v>83</v>
      </c>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1">
    <mergeCell ref="C48:G49"/>
  </mergeCells>
  <dataValidations count="3">
    <dataValidation type="list" allowBlank="1" showInputMessage="1" showErrorMessage="1" prompt=" - " sqref="D12" xr:uid="{0273283C-D839-449F-AB8E-3B5C6ACBBEF0}">
      <formula1>"Proprietorship Firm,Partnership Firm"</formula1>
    </dataValidation>
    <dataValidation type="custom" allowBlank="1" showInputMessage="1" showErrorMessage="1" prompt=" - " sqref="D11:E11" xr:uid="{352BA0A0-B366-4BEC-A57E-8CFFB1732C3A}">
      <formula1>AND(GTE(LEN(D11),MIN((10),(10))),LTE(LEN(D11),MAX((10),(10))))</formula1>
    </dataValidation>
    <dataValidation type="list" allowBlank="1" showInputMessage="1" showErrorMessage="1" prompt=" - " sqref="D19:E19 E20:E24" xr:uid="{F1122BBA-1D23-433B-B737-0DF9747D0CE7}">
      <formula1>"Manufacturing,Trading"</formula1>
    </dataValidation>
  </dataValidation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62F6B-38E5-4C6B-9A99-EDD1806E3023}">
  <sheetPr>
    <pageSetUpPr fitToPage="1"/>
  </sheetPr>
  <dimension ref="A1:K41"/>
  <sheetViews>
    <sheetView view="pageBreakPreview" zoomScaleNormal="100" zoomScaleSheetLayoutView="100" workbookViewId="0">
      <selection activeCell="I20" sqref="I20"/>
    </sheetView>
  </sheetViews>
  <sheetFormatPr defaultRowHeight="13.2"/>
  <sheetData>
    <row r="1" spans="1:11">
      <c r="A1" s="24"/>
      <c r="B1" s="25"/>
      <c r="C1" s="25"/>
      <c r="D1" s="25"/>
      <c r="E1" s="25"/>
      <c r="F1" s="25"/>
      <c r="G1" s="25"/>
      <c r="H1" s="26"/>
      <c r="I1" s="26"/>
      <c r="J1" s="26"/>
      <c r="K1" s="27"/>
    </row>
    <row r="2" spans="1:11" ht="17.399999999999999">
      <c r="A2" s="28" t="s">
        <v>84</v>
      </c>
      <c r="B2" s="29"/>
      <c r="C2" s="29"/>
      <c r="D2" s="29"/>
      <c r="E2" s="29"/>
      <c r="F2" s="30"/>
      <c r="G2" s="30"/>
      <c r="H2" s="31" t="s">
        <v>85</v>
      </c>
      <c r="I2" s="31"/>
      <c r="J2" s="31"/>
      <c r="K2" s="32"/>
    </row>
    <row r="3" spans="1:11" ht="17.399999999999999">
      <c r="A3" s="28" t="s">
        <v>86</v>
      </c>
      <c r="B3" s="29"/>
      <c r="C3" s="29"/>
      <c r="D3" s="29"/>
      <c r="E3" s="29"/>
      <c r="F3" s="30"/>
      <c r="G3" s="30"/>
      <c r="H3" s="31" t="s">
        <v>87</v>
      </c>
      <c r="I3" s="31"/>
      <c r="J3" s="31"/>
      <c r="K3" s="32"/>
    </row>
    <row r="4" spans="1:11" ht="18" thickBot="1">
      <c r="A4" s="33"/>
      <c r="B4" s="30"/>
      <c r="C4" s="30"/>
      <c r="D4" s="30"/>
      <c r="E4" s="30"/>
      <c r="F4" s="30"/>
      <c r="G4" s="30"/>
      <c r="H4" s="34"/>
      <c r="I4" s="34"/>
      <c r="J4" s="34"/>
      <c r="K4" s="35"/>
    </row>
    <row r="5" spans="1:11" ht="14.4">
      <c r="A5" s="24"/>
      <c r="B5" s="36"/>
      <c r="C5" s="25"/>
      <c r="D5" s="25"/>
      <c r="E5" s="25"/>
      <c r="F5" s="25"/>
      <c r="G5" s="25"/>
      <c r="H5" s="25"/>
      <c r="I5" s="25"/>
      <c r="J5" s="25"/>
      <c r="K5" s="37"/>
    </row>
    <row r="6" spans="1:11">
      <c r="A6" s="38"/>
      <c r="B6" s="39"/>
      <c r="C6" s="39"/>
      <c r="D6" s="39"/>
      <c r="E6" s="39"/>
      <c r="F6" s="39"/>
      <c r="G6" s="39"/>
      <c r="H6" s="39"/>
      <c r="I6" s="39"/>
      <c r="J6" s="39"/>
      <c r="K6" s="40"/>
    </row>
    <row r="7" spans="1:11">
      <c r="A7" s="41" t="str">
        <f>'My Contect'!D4</f>
        <v>SINGLA STEEL CORPORATION</v>
      </c>
      <c r="B7" s="42"/>
      <c r="C7" s="42"/>
      <c r="D7" s="42"/>
      <c r="E7" s="42"/>
      <c r="F7" s="42"/>
      <c r="G7" s="42"/>
      <c r="H7" s="42"/>
      <c r="I7" s="42"/>
      <c r="J7" s="42"/>
      <c r="K7" s="43"/>
    </row>
    <row r="8" spans="1:11">
      <c r="A8" s="41"/>
      <c r="B8" s="42"/>
      <c r="C8" s="42"/>
      <c r="D8" s="42"/>
      <c r="E8" s="42"/>
      <c r="F8" s="42"/>
      <c r="G8" s="42"/>
      <c r="H8" s="42"/>
      <c r="I8" s="42"/>
      <c r="J8" s="42"/>
      <c r="K8" s="43"/>
    </row>
    <row r="9" spans="1:11">
      <c r="A9" s="41"/>
      <c r="B9" s="42"/>
      <c r="C9" s="42"/>
      <c r="D9" s="42"/>
      <c r="E9" s="42"/>
      <c r="F9" s="42"/>
      <c r="G9" s="42"/>
      <c r="H9" s="42"/>
      <c r="I9" s="42"/>
      <c r="J9" s="42"/>
      <c r="K9" s="43"/>
    </row>
    <row r="10" spans="1:11">
      <c r="A10" s="41"/>
      <c r="B10" s="42"/>
      <c r="C10" s="42"/>
      <c r="D10" s="42"/>
      <c r="E10" s="42"/>
      <c r="F10" s="42"/>
      <c r="G10" s="42"/>
      <c r="H10" s="42"/>
      <c r="I10" s="42"/>
      <c r="J10" s="42"/>
      <c r="K10" s="43"/>
    </row>
    <row r="11" spans="1:11">
      <c r="A11" s="41"/>
      <c r="B11" s="42"/>
      <c r="C11" s="42"/>
      <c r="D11" s="42"/>
      <c r="E11" s="42"/>
      <c r="F11" s="42"/>
      <c r="G11" s="42"/>
      <c r="H11" s="42"/>
      <c r="I11" s="42"/>
      <c r="J11" s="42"/>
      <c r="K11" s="43"/>
    </row>
    <row r="12" spans="1:11">
      <c r="A12" s="41"/>
      <c r="B12" s="42"/>
      <c r="C12" s="42"/>
      <c r="D12" s="42"/>
      <c r="E12" s="42"/>
      <c r="F12" s="42"/>
      <c r="G12" s="42"/>
      <c r="H12" s="42"/>
      <c r="I12" s="42"/>
      <c r="J12" s="42"/>
      <c r="K12" s="43"/>
    </row>
    <row r="13" spans="1:11">
      <c r="A13" s="41"/>
      <c r="B13" s="42"/>
      <c r="C13" s="42"/>
      <c r="D13" s="42"/>
      <c r="E13" s="42"/>
      <c r="F13" s="42"/>
      <c r="G13" s="42"/>
      <c r="H13" s="42"/>
      <c r="I13" s="42"/>
      <c r="J13" s="42"/>
      <c r="K13" s="43"/>
    </row>
    <row r="14" spans="1:11">
      <c r="A14" s="44" t="str">
        <f>'My Contect'!D8</f>
        <v>Ludhiana</v>
      </c>
      <c r="B14" s="45"/>
      <c r="C14" s="45"/>
      <c r="D14" s="45"/>
      <c r="E14" s="45"/>
      <c r="F14" s="45"/>
      <c r="G14" s="45"/>
      <c r="H14" s="45"/>
      <c r="I14" s="45"/>
      <c r="J14" s="45"/>
      <c r="K14" s="46"/>
    </row>
    <row r="15" spans="1:11">
      <c r="A15" s="44"/>
      <c r="B15" s="45"/>
      <c r="C15" s="45"/>
      <c r="D15" s="45"/>
      <c r="E15" s="45"/>
      <c r="F15" s="45"/>
      <c r="G15" s="45"/>
      <c r="H15" s="45"/>
      <c r="I15" s="45"/>
      <c r="J15" s="45"/>
      <c r="K15" s="46"/>
    </row>
    <row r="16" spans="1:11">
      <c r="A16" s="44"/>
      <c r="B16" s="45"/>
      <c r="C16" s="45"/>
      <c r="D16" s="45"/>
      <c r="E16" s="45"/>
      <c r="F16" s="45"/>
      <c r="G16" s="45"/>
      <c r="H16" s="45"/>
      <c r="I16" s="45"/>
      <c r="J16" s="45"/>
      <c r="K16" s="46"/>
    </row>
    <row r="17" spans="1:11">
      <c r="A17" s="44"/>
      <c r="B17" s="45"/>
      <c r="C17" s="45"/>
      <c r="D17" s="45"/>
      <c r="E17" s="45"/>
      <c r="F17" s="45"/>
      <c r="G17" s="45"/>
      <c r="H17" s="45"/>
      <c r="I17" s="45"/>
      <c r="J17" s="45"/>
      <c r="K17" s="46"/>
    </row>
    <row r="18" spans="1:11">
      <c r="A18" s="44"/>
      <c r="B18" s="45"/>
      <c r="C18" s="45"/>
      <c r="D18" s="45"/>
      <c r="E18" s="45"/>
      <c r="F18" s="45"/>
      <c r="G18" s="45"/>
      <c r="H18" s="45"/>
      <c r="I18" s="45"/>
      <c r="J18" s="45"/>
      <c r="K18" s="46"/>
    </row>
    <row r="19" spans="1:11">
      <c r="A19" s="44"/>
      <c r="B19" s="45"/>
      <c r="C19" s="45"/>
      <c r="D19" s="45"/>
      <c r="E19" s="45"/>
      <c r="F19" s="45"/>
      <c r="G19" s="45"/>
      <c r="H19" s="45"/>
      <c r="I19" s="45"/>
      <c r="J19" s="45"/>
      <c r="K19" s="46"/>
    </row>
    <row r="20" spans="1:11">
      <c r="A20" s="44"/>
      <c r="B20" s="45"/>
      <c r="C20" s="45"/>
      <c r="D20" s="45"/>
      <c r="E20" s="45"/>
      <c r="F20" s="45"/>
      <c r="G20" s="45"/>
      <c r="H20" s="45"/>
      <c r="I20" s="45"/>
      <c r="J20" s="45"/>
      <c r="K20" s="46"/>
    </row>
    <row r="21" spans="1:11">
      <c r="A21" s="44"/>
      <c r="B21" s="45"/>
      <c r="C21" s="45"/>
      <c r="D21" s="45"/>
      <c r="E21" s="45"/>
      <c r="F21" s="45"/>
      <c r="G21" s="45"/>
      <c r="H21" s="45"/>
      <c r="I21" s="45"/>
      <c r="J21" s="45"/>
      <c r="K21" s="46"/>
    </row>
    <row r="22" spans="1:11">
      <c r="A22" s="44"/>
      <c r="B22" s="45"/>
      <c r="C22" s="45"/>
      <c r="D22" s="45"/>
      <c r="E22" s="45"/>
      <c r="F22" s="45"/>
      <c r="G22" s="45"/>
      <c r="H22" s="45"/>
      <c r="I22" s="45"/>
      <c r="J22" s="45"/>
      <c r="K22" s="46"/>
    </row>
    <row r="23" spans="1:11">
      <c r="A23" s="44"/>
      <c r="B23" s="45"/>
      <c r="C23" s="45"/>
      <c r="D23" s="45"/>
      <c r="E23" s="45"/>
      <c r="F23" s="45"/>
      <c r="G23" s="45"/>
      <c r="H23" s="45"/>
      <c r="I23" s="45"/>
      <c r="J23" s="45"/>
      <c r="K23" s="46"/>
    </row>
    <row r="24" spans="1:11" ht="17.399999999999999">
      <c r="A24" s="47" t="s">
        <v>88</v>
      </c>
      <c r="B24" s="48" t="s">
        <v>89</v>
      </c>
      <c r="C24" s="48"/>
      <c r="D24" s="48"/>
      <c r="E24" s="48"/>
      <c r="F24" s="48"/>
      <c r="G24" s="48"/>
      <c r="H24" s="48"/>
      <c r="I24" s="48"/>
      <c r="J24" s="48"/>
      <c r="K24" s="49"/>
    </row>
    <row r="25" spans="1:11" ht="17.399999999999999">
      <c r="A25" s="47" t="s">
        <v>88</v>
      </c>
      <c r="B25" s="50" t="s">
        <v>90</v>
      </c>
      <c r="C25" s="50"/>
      <c r="D25" s="50"/>
      <c r="E25" s="50"/>
      <c r="F25" s="50"/>
      <c r="G25" s="50"/>
      <c r="H25" s="50"/>
      <c r="I25" s="50"/>
      <c r="J25" s="50"/>
      <c r="K25" s="51"/>
    </row>
    <row r="26" spans="1:11" ht="17.399999999999999">
      <c r="A26" s="33"/>
      <c r="K26" s="52"/>
    </row>
    <row r="27" spans="1:11" ht="17.399999999999999">
      <c r="A27" s="53"/>
      <c r="B27" s="54"/>
      <c r="C27" s="54"/>
      <c r="D27" s="54"/>
      <c r="E27" s="54"/>
      <c r="F27" s="54"/>
      <c r="G27" s="54"/>
      <c r="H27" s="54"/>
      <c r="I27" s="54"/>
      <c r="J27" s="54"/>
      <c r="K27" s="55"/>
    </row>
    <row r="28" spans="1:11" ht="17.399999999999999">
      <c r="A28" s="53"/>
      <c r="B28" s="54"/>
      <c r="C28" s="54"/>
      <c r="D28" s="54"/>
      <c r="E28" s="54"/>
      <c r="F28" s="54"/>
      <c r="G28" s="54"/>
      <c r="H28" s="54"/>
      <c r="I28" s="54"/>
      <c r="J28" s="54"/>
      <c r="K28" s="55"/>
    </row>
    <row r="29" spans="1:11" ht="17.399999999999999">
      <c r="A29" s="53"/>
      <c r="B29" s="54"/>
      <c r="C29" s="54"/>
      <c r="D29" s="54"/>
      <c r="E29" s="54"/>
      <c r="F29" s="54"/>
      <c r="G29" s="54"/>
      <c r="H29" s="54"/>
      <c r="I29" s="54"/>
      <c r="J29" s="54"/>
      <c r="K29" s="55"/>
    </row>
    <row r="30" spans="1:11" ht="17.399999999999999">
      <c r="A30" s="53"/>
      <c r="B30" s="54"/>
      <c r="C30" s="54"/>
      <c r="D30" s="54"/>
      <c r="E30" s="54"/>
      <c r="F30" s="54"/>
      <c r="G30" s="54"/>
      <c r="H30" s="54"/>
      <c r="I30" s="54"/>
      <c r="J30" s="54"/>
      <c r="K30" s="55"/>
    </row>
    <row r="31" spans="1:11" ht="17.399999999999999">
      <c r="A31" s="53"/>
      <c r="B31" s="54"/>
      <c r="C31" s="54"/>
      <c r="D31" s="54"/>
      <c r="E31" s="54"/>
      <c r="F31" s="54"/>
      <c r="G31" s="54"/>
      <c r="H31" s="54"/>
      <c r="I31" s="54"/>
      <c r="J31" s="54"/>
      <c r="K31" s="55"/>
    </row>
    <row r="32" spans="1:11" ht="17.399999999999999">
      <c r="A32" s="53"/>
      <c r="B32" s="54"/>
      <c r="C32" s="54"/>
      <c r="D32" s="54"/>
      <c r="E32" s="54"/>
      <c r="F32" s="54"/>
      <c r="G32" s="54"/>
      <c r="H32" s="54"/>
      <c r="I32" s="54"/>
      <c r="J32" s="54"/>
      <c r="K32" s="55"/>
    </row>
    <row r="33" spans="1:11" ht="17.399999999999999">
      <c r="A33" s="53"/>
      <c r="B33" s="54"/>
      <c r="C33" s="54"/>
      <c r="D33" s="54"/>
      <c r="E33" s="54"/>
      <c r="F33" s="54"/>
      <c r="G33" s="54"/>
      <c r="H33" s="54"/>
      <c r="I33" s="54"/>
      <c r="J33" s="54"/>
      <c r="K33" s="55"/>
    </row>
    <row r="34" spans="1:11" ht="17.399999999999999">
      <c r="A34" s="56" t="s">
        <v>84</v>
      </c>
      <c r="B34" s="57"/>
      <c r="C34" s="57"/>
      <c r="D34" s="57"/>
      <c r="E34" s="57"/>
      <c r="F34" s="57"/>
      <c r="G34" s="57"/>
      <c r="H34" s="57"/>
      <c r="I34" s="57"/>
      <c r="J34" s="57"/>
      <c r="K34" s="58"/>
    </row>
    <row r="35" spans="1:11" ht="17.399999999999999">
      <c r="A35" s="56" t="s">
        <v>68</v>
      </c>
      <c r="B35" s="57"/>
      <c r="C35" s="57"/>
      <c r="D35" s="57"/>
      <c r="E35" s="57"/>
      <c r="F35" s="57"/>
      <c r="G35" s="57"/>
      <c r="H35" s="57"/>
      <c r="I35" s="57"/>
      <c r="J35" s="57"/>
      <c r="K35" s="58"/>
    </row>
    <row r="36" spans="1:11" ht="17.399999999999999">
      <c r="A36" s="56" t="s">
        <v>91</v>
      </c>
      <c r="B36" s="57"/>
      <c r="C36" s="57"/>
      <c r="D36" s="57"/>
      <c r="E36" s="57"/>
      <c r="F36" s="57"/>
      <c r="G36" s="57"/>
      <c r="H36" s="57"/>
      <c r="I36" s="57"/>
      <c r="J36" s="57"/>
      <c r="K36" s="58"/>
    </row>
    <row r="37" spans="1:11" ht="17.399999999999999">
      <c r="A37" s="56" t="s">
        <v>92</v>
      </c>
      <c r="B37" s="57"/>
      <c r="C37" s="57"/>
      <c r="D37" s="57"/>
      <c r="E37" s="57"/>
      <c r="F37" s="57"/>
      <c r="G37" s="57"/>
      <c r="H37" s="57"/>
      <c r="I37" s="57"/>
      <c r="J37" s="57"/>
      <c r="K37" s="58"/>
    </row>
    <row r="38" spans="1:11" ht="17.399999999999999">
      <c r="A38" s="56" t="s">
        <v>93</v>
      </c>
      <c r="B38" s="57"/>
      <c r="C38" s="57"/>
      <c r="D38" s="57"/>
      <c r="E38" s="57"/>
      <c r="F38" s="57"/>
      <c r="G38" s="57"/>
      <c r="H38" s="57"/>
      <c r="I38" s="57"/>
      <c r="J38" s="57"/>
      <c r="K38" s="58"/>
    </row>
    <row r="39" spans="1:11" ht="17.399999999999999">
      <c r="A39" s="56" t="s">
        <v>94</v>
      </c>
      <c r="B39" s="57"/>
      <c r="C39" s="57"/>
      <c r="D39" s="57"/>
      <c r="E39" s="57"/>
      <c r="F39" s="57"/>
      <c r="G39" s="57"/>
      <c r="H39" s="57"/>
      <c r="I39" s="57"/>
      <c r="J39" s="57"/>
      <c r="K39" s="58"/>
    </row>
    <row r="40" spans="1:11" ht="17.399999999999999">
      <c r="A40" s="53"/>
      <c r="B40" s="54"/>
      <c r="C40" s="54"/>
      <c r="D40" s="54"/>
      <c r="E40" s="54"/>
      <c r="F40" s="54"/>
      <c r="G40" s="54"/>
      <c r="H40" s="54"/>
      <c r="I40" s="54"/>
      <c r="J40" s="54"/>
      <c r="K40" s="55"/>
    </row>
    <row r="41" spans="1:11" ht="18" thickBot="1">
      <c r="A41" s="59"/>
      <c r="B41" s="60"/>
      <c r="C41" s="60"/>
      <c r="D41" s="60"/>
      <c r="E41" s="60"/>
      <c r="F41" s="60"/>
      <c r="G41" s="60"/>
      <c r="H41" s="60"/>
      <c r="I41" s="60"/>
      <c r="J41" s="60"/>
      <c r="K41" s="61"/>
    </row>
  </sheetData>
  <mergeCells count="25">
    <mergeCell ref="A41:K41"/>
    <mergeCell ref="A35:K35"/>
    <mergeCell ref="A36:K36"/>
    <mergeCell ref="A37:K37"/>
    <mergeCell ref="A38:K38"/>
    <mergeCell ref="A39:K39"/>
    <mergeCell ref="A40:K40"/>
    <mergeCell ref="A29:K29"/>
    <mergeCell ref="A30:K30"/>
    <mergeCell ref="A31:K31"/>
    <mergeCell ref="A32:K32"/>
    <mergeCell ref="A33:K33"/>
    <mergeCell ref="A34:K34"/>
    <mergeCell ref="A7:K13"/>
    <mergeCell ref="A14:K23"/>
    <mergeCell ref="B24:K24"/>
    <mergeCell ref="B25:K25"/>
    <mergeCell ref="A27:K27"/>
    <mergeCell ref="A28:K28"/>
    <mergeCell ref="H1:K1"/>
    <mergeCell ref="A2:E2"/>
    <mergeCell ref="H2:K2"/>
    <mergeCell ref="A3:E3"/>
    <mergeCell ref="H3:K3"/>
    <mergeCell ref="H4:K4"/>
  </mergeCells>
  <pageMargins left="0.25" right="0.25"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B8807-2BC6-4F05-A46D-F56276FED6A7}">
  <sheetPr>
    <tabColor rgb="FF92D050"/>
  </sheetPr>
  <dimension ref="B1:N66"/>
  <sheetViews>
    <sheetView zoomScaleNormal="100" zoomScaleSheetLayoutView="100" workbookViewId="0">
      <selection activeCell="I20" sqref="I20"/>
    </sheetView>
  </sheetViews>
  <sheetFormatPr defaultColWidth="9.109375" defaultRowHeight="13.2"/>
  <cols>
    <col min="1" max="1" width="2.109375" style="64" customWidth="1"/>
    <col min="2" max="2" width="42.88671875" style="64" customWidth="1"/>
    <col min="3" max="3" width="7.109375" style="64" customWidth="1"/>
    <col min="4" max="5" width="18.5546875" style="64" customWidth="1"/>
    <col min="6" max="6" width="15.6640625" style="64" customWidth="1"/>
    <col min="7" max="8" width="19.33203125" style="64" customWidth="1"/>
    <col min="9" max="9" width="17.109375" style="64" customWidth="1"/>
    <col min="10" max="12" width="15.109375" style="64" bestFit="1" customWidth="1"/>
    <col min="13" max="13" width="15.109375" style="64" customWidth="1"/>
    <col min="14" max="14" width="13.33203125" style="64" bestFit="1" customWidth="1"/>
    <col min="15" max="16384" width="9.109375" style="64"/>
  </cols>
  <sheetData>
    <row r="1" spans="2:11" ht="15.6">
      <c r="B1" s="62" t="str">
        <f>'My Contect'!D4</f>
        <v>SINGLA STEEL CORPORATION</v>
      </c>
      <c r="C1" s="62"/>
      <c r="D1" s="62"/>
      <c r="E1" s="62"/>
      <c r="F1" s="63"/>
      <c r="G1" s="63"/>
      <c r="H1" s="63"/>
    </row>
    <row r="2" spans="2:11" ht="15.6" hidden="1">
      <c r="B2" s="65" t="s">
        <v>95</v>
      </c>
      <c r="C2" s="65"/>
      <c r="D2" s="65"/>
      <c r="E2" s="65"/>
      <c r="F2" s="63"/>
      <c r="G2" s="63"/>
      <c r="H2" s="63"/>
    </row>
    <row r="3" spans="2:11" ht="15.6">
      <c r="B3" s="63"/>
      <c r="C3" s="63"/>
      <c r="D3" s="63"/>
      <c r="E3" s="63"/>
      <c r="F3" s="63"/>
      <c r="G3" s="63"/>
      <c r="H3" s="63"/>
    </row>
    <row r="4" spans="2:11" ht="13.8">
      <c r="B4" s="66" t="str">
        <f>CONCATENATE("Balance Sheet as at ",'My Contect'!E15,"")</f>
        <v>Balance Sheet as at 31.03.2025</v>
      </c>
      <c r="C4" s="66"/>
      <c r="D4" s="66"/>
      <c r="E4" s="66"/>
      <c r="F4" s="67"/>
      <c r="H4" s="67"/>
    </row>
    <row r="5" spans="2:11" ht="13.8" thickBot="1">
      <c r="B5" s="68"/>
      <c r="C5" s="68"/>
      <c r="D5" s="68"/>
      <c r="E5" s="69" t="s">
        <v>96</v>
      </c>
      <c r="F5" s="68"/>
      <c r="G5" s="68"/>
      <c r="H5" s="68"/>
    </row>
    <row r="6" spans="2:11" ht="51" customHeight="1">
      <c r="B6" s="70" t="s">
        <v>97</v>
      </c>
      <c r="C6" s="71" t="s">
        <v>98</v>
      </c>
      <c r="D6" s="72" t="str">
        <f>CONCATENATE("As at ",'My Contect'!E15,"")</f>
        <v>As at 31.03.2025</v>
      </c>
      <c r="E6" s="73" t="str">
        <f>CONCATENATE("As at ",'My Contect'!E16,"")</f>
        <v>As at 31.03.2024</v>
      </c>
      <c r="F6" s="74" t="s">
        <v>99</v>
      </c>
      <c r="G6" s="75" t="str">
        <f>CONCATENATE("As at ",'My Contect'!E15,"
Amount (Rs.)")</f>
        <v>As at 31.03.2025
Amount (Rs.)</v>
      </c>
      <c r="H6" s="76" t="str">
        <f>CONCATENATE("As at ",'My Contect'!E16,"
Amount (Rs.)")</f>
        <v>As at 31.03.2024
Amount (Rs.)</v>
      </c>
      <c r="I6" s="77" t="s">
        <v>99</v>
      </c>
      <c r="J6" s="67" t="s">
        <v>100</v>
      </c>
      <c r="K6" s="67" t="s">
        <v>101</v>
      </c>
    </row>
    <row r="7" spans="2:11">
      <c r="B7" s="78"/>
      <c r="C7" s="79"/>
      <c r="D7" s="80"/>
      <c r="E7" s="81"/>
      <c r="F7" s="82"/>
      <c r="G7" s="83"/>
      <c r="H7" s="84"/>
    </row>
    <row r="8" spans="2:11">
      <c r="B8" s="85" t="s">
        <v>102</v>
      </c>
      <c r="C8" s="79"/>
      <c r="D8" s="80"/>
      <c r="E8" s="81"/>
      <c r="F8" s="82"/>
      <c r="G8" s="86"/>
      <c r="H8" s="87"/>
    </row>
    <row r="9" spans="2:11">
      <c r="B9" s="88" t="s">
        <v>103</v>
      </c>
      <c r="C9" s="89"/>
      <c r="D9" s="90"/>
      <c r="E9" s="91"/>
      <c r="F9" s="92"/>
      <c r="G9" s="93"/>
      <c r="H9" s="94"/>
    </row>
    <row r="10" spans="2:11">
      <c r="B10" s="78" t="s">
        <v>104</v>
      </c>
      <c r="C10" s="89">
        <f>1</f>
        <v>1</v>
      </c>
      <c r="D10" s="95">
        <f>'BS Lia'!H13</f>
        <v>15012174.499999907</v>
      </c>
      <c r="E10" s="96">
        <f>'BS Lia'!I13</f>
        <v>12874543.910000009</v>
      </c>
      <c r="F10" s="97">
        <f>I10/'My Contect'!$E$2</f>
        <v>0</v>
      </c>
      <c r="G10" s="98">
        <f>'BS Lia'!H13</f>
        <v>15012174.499999907</v>
      </c>
      <c r="H10" s="99">
        <f>'BS Lia'!I13</f>
        <v>12874543.910000009</v>
      </c>
      <c r="I10" s="100"/>
      <c r="J10" s="101">
        <f>SUM('Trial 2025'!H11:H11)</f>
        <v>14177491.34</v>
      </c>
      <c r="K10" s="101">
        <f>G10-J10-PL!G30</f>
        <v>0</v>
      </c>
    </row>
    <row r="11" spans="2:11" hidden="1">
      <c r="B11" s="78" t="s">
        <v>105</v>
      </c>
      <c r="C11" s="89">
        <f>C10</f>
        <v>1</v>
      </c>
      <c r="D11" s="95">
        <f>'BS Lia'!E22</f>
        <v>0</v>
      </c>
      <c r="E11" s="96">
        <f>'BS Lia'!F22</f>
        <v>0</v>
      </c>
      <c r="F11" s="97">
        <f>I11/'My Contect'!$E$2</f>
        <v>0</v>
      </c>
      <c r="G11" s="98">
        <f>'BS Lia'!H22</f>
        <v>0</v>
      </c>
      <c r="H11" s="99">
        <f>'BS Lia'!I22</f>
        <v>0</v>
      </c>
      <c r="I11" s="100"/>
    </row>
    <row r="12" spans="2:11">
      <c r="B12" s="88"/>
      <c r="C12" s="89"/>
      <c r="D12" s="102"/>
      <c r="E12" s="103"/>
      <c r="F12" s="104"/>
      <c r="G12" s="105"/>
      <c r="H12" s="103"/>
      <c r="I12" s="100"/>
    </row>
    <row r="13" spans="2:11">
      <c r="B13" s="88"/>
      <c r="C13" s="89"/>
      <c r="D13" s="106">
        <f>SUM(D10:D12)</f>
        <v>15012174.499999907</v>
      </c>
      <c r="E13" s="107">
        <f>SUM(E10:E12)</f>
        <v>12874543.910000009</v>
      </c>
      <c r="F13" s="108">
        <f t="shared" ref="F13:H13" si="0">SUM(F10:F12)</f>
        <v>0</v>
      </c>
      <c r="G13" s="109">
        <f t="shared" si="0"/>
        <v>15012174.499999907</v>
      </c>
      <c r="H13" s="107">
        <f t="shared" si="0"/>
        <v>12874543.910000009</v>
      </c>
      <c r="I13" s="100"/>
    </row>
    <row r="14" spans="2:11">
      <c r="B14" s="88"/>
      <c r="C14" s="89"/>
      <c r="D14" s="102"/>
      <c r="E14" s="103"/>
      <c r="F14" s="104"/>
      <c r="G14" s="105"/>
      <c r="H14" s="103"/>
      <c r="I14" s="100"/>
    </row>
    <row r="15" spans="2:11">
      <c r="B15" s="88" t="s">
        <v>106</v>
      </c>
      <c r="C15" s="89"/>
      <c r="D15" s="110"/>
      <c r="E15" s="111"/>
      <c r="F15" s="97"/>
      <c r="G15" s="98"/>
      <c r="H15" s="99"/>
      <c r="I15" s="100"/>
    </row>
    <row r="16" spans="2:11">
      <c r="B16" s="78" t="s">
        <v>107</v>
      </c>
      <c r="C16" s="89">
        <f>C11+1</f>
        <v>2</v>
      </c>
      <c r="D16" s="95">
        <f>'BS Lia'!E37</f>
        <v>19187969</v>
      </c>
      <c r="E16" s="96">
        <f>'BS Lia'!F37</f>
        <v>38624774</v>
      </c>
      <c r="F16" s="97">
        <f>I16/'My Contect'!$E$2</f>
        <v>0</v>
      </c>
      <c r="G16" s="98">
        <f>'BS Lia'!H37</f>
        <v>19187969</v>
      </c>
      <c r="H16" s="99">
        <f>'BS Lia'!I37</f>
        <v>38624774</v>
      </c>
      <c r="I16" s="100"/>
    </row>
    <row r="17" spans="2:14" hidden="1">
      <c r="B17" s="78" t="s">
        <v>108</v>
      </c>
      <c r="C17" s="89"/>
      <c r="D17" s="95"/>
      <c r="E17" s="96"/>
      <c r="F17" s="97"/>
      <c r="G17" s="98"/>
      <c r="H17" s="99"/>
      <c r="I17" s="100"/>
    </row>
    <row r="18" spans="2:14" hidden="1">
      <c r="B18" s="78" t="s">
        <v>109</v>
      </c>
      <c r="C18" s="89"/>
      <c r="D18" s="95"/>
      <c r="E18" s="96"/>
      <c r="F18" s="97"/>
      <c r="G18" s="98"/>
      <c r="H18" s="99"/>
      <c r="I18" s="100"/>
    </row>
    <row r="19" spans="2:14" hidden="1">
      <c r="B19" s="78" t="s">
        <v>110</v>
      </c>
      <c r="C19" s="89"/>
      <c r="D19" s="95"/>
      <c r="E19" s="96"/>
      <c r="F19" s="97"/>
      <c r="G19" s="98"/>
      <c r="H19" s="99"/>
      <c r="I19" s="100"/>
    </row>
    <row r="20" spans="2:14">
      <c r="B20" s="78"/>
      <c r="C20" s="89"/>
      <c r="D20" s="95"/>
      <c r="E20" s="96"/>
      <c r="F20" s="97"/>
      <c r="G20" s="98"/>
      <c r="H20" s="99"/>
      <c r="I20" s="100"/>
    </row>
    <row r="21" spans="2:14">
      <c r="B21" s="88" t="s">
        <v>111</v>
      </c>
      <c r="C21" s="89"/>
      <c r="D21" s="95"/>
      <c r="E21" s="96"/>
      <c r="F21" s="97"/>
      <c r="G21" s="98"/>
      <c r="H21" s="99"/>
      <c r="I21" s="100"/>
      <c r="J21" s="100">
        <f>SUM('Trial 2025'!H14:H169)</f>
        <v>44720611.469999999</v>
      </c>
      <c r="K21" s="100">
        <f>G16+G22+G23+G24</f>
        <v>44720611.470000006</v>
      </c>
      <c r="L21" s="101">
        <f>J21-K21</f>
        <v>0</v>
      </c>
    </row>
    <row r="22" spans="2:14">
      <c r="B22" s="78" t="s">
        <v>112</v>
      </c>
      <c r="C22" s="89">
        <f>C16+1</f>
        <v>3</v>
      </c>
      <c r="D22" s="95">
        <f>'BS Lia'!E61</f>
        <v>9407705.9900000002</v>
      </c>
      <c r="E22" s="96">
        <f>'BS Lia'!F61</f>
        <v>7180440.6399999997</v>
      </c>
      <c r="F22" s="97"/>
      <c r="G22" s="98">
        <f>'BS Lia'!H61</f>
        <v>9407705.9900000002</v>
      </c>
      <c r="H22" s="99">
        <f>'BS Lia'!I61</f>
        <v>7180440.6399999997</v>
      </c>
      <c r="I22" s="100"/>
      <c r="J22" s="100"/>
      <c r="K22" s="100"/>
    </row>
    <row r="23" spans="2:14">
      <c r="B23" s="78" t="s">
        <v>113</v>
      </c>
      <c r="C23" s="89">
        <f>C22+1</f>
        <v>4</v>
      </c>
      <c r="D23" s="95">
        <f>+'BS Lia'!E85</f>
        <v>15846215.640000001</v>
      </c>
      <c r="E23" s="96">
        <f>+'BS Lia'!F85</f>
        <v>18488569.640000001</v>
      </c>
      <c r="F23" s="97"/>
      <c r="G23" s="98">
        <f>+'BS Lia'!H85</f>
        <v>15846215.640000001</v>
      </c>
      <c r="H23" s="99">
        <f>+'BS Lia'!I85</f>
        <v>18488569.640000001</v>
      </c>
      <c r="I23" s="100"/>
    </row>
    <row r="24" spans="2:14">
      <c r="B24" s="78" t="s">
        <v>114</v>
      </c>
      <c r="C24" s="89">
        <f>C23+1</f>
        <v>5</v>
      </c>
      <c r="D24" s="95">
        <f>'BS Lia'!E106</f>
        <v>278720.84000000003</v>
      </c>
      <c r="E24" s="96">
        <f>'BS Lia'!F106</f>
        <v>378414</v>
      </c>
      <c r="F24" s="97">
        <f>I24/'My Contect'!$E$2</f>
        <v>0</v>
      </c>
      <c r="G24" s="98">
        <f>'BS Lia'!H106</f>
        <v>278720.84000000003</v>
      </c>
      <c r="H24" s="99">
        <f>'BS Lia'!I106</f>
        <v>378414</v>
      </c>
      <c r="I24" s="100"/>
    </row>
    <row r="25" spans="2:14">
      <c r="B25" s="78" t="s">
        <v>115</v>
      </c>
      <c r="C25" s="89">
        <f>C24+1</f>
        <v>6</v>
      </c>
      <c r="D25" s="95">
        <f>'BS Lia'!E116</f>
        <v>38850</v>
      </c>
      <c r="E25" s="96">
        <f>'BS Lia'!F116</f>
        <v>0</v>
      </c>
      <c r="F25" s="97">
        <f>I25/'My Contect'!$E$2</f>
        <v>0</v>
      </c>
      <c r="G25" s="98">
        <f>'BS Lia'!H116</f>
        <v>38850</v>
      </c>
      <c r="H25" s="99">
        <f>'BS Lia'!I116</f>
        <v>0</v>
      </c>
      <c r="I25" s="100"/>
      <c r="L25" s="112" t="str">
        <f>'My Contect'!E15</f>
        <v>31.03.2025</v>
      </c>
      <c r="M25" s="112" t="str">
        <f>'My Contect'!E16</f>
        <v>31.03.2024</v>
      </c>
    </row>
    <row r="26" spans="2:14">
      <c r="B26" s="78"/>
      <c r="C26" s="89"/>
      <c r="D26" s="110"/>
      <c r="E26" s="111"/>
      <c r="F26" s="97"/>
      <c r="G26" s="113"/>
      <c r="H26" s="114"/>
      <c r="I26" s="100"/>
      <c r="L26" s="100">
        <f>(G39-G23)*0.75</f>
        <v>-11168749.23</v>
      </c>
      <c r="M26" s="100">
        <f>(H39-H23)*0.75</f>
        <v>-11181427.23</v>
      </c>
      <c r="N26" s="64" t="s">
        <v>116</v>
      </c>
    </row>
    <row r="27" spans="2:14" ht="13.8" thickBot="1">
      <c r="B27" s="115" t="s">
        <v>117</v>
      </c>
      <c r="C27" s="89"/>
      <c r="D27" s="116">
        <f>SUM(D13:D25)</f>
        <v>59771635.969999917</v>
      </c>
      <c r="E27" s="117">
        <f>SUM(E13:E25)</f>
        <v>77546742.190000013</v>
      </c>
      <c r="F27" s="104">
        <f t="shared" ref="F27:I27" si="1">SUM(F13:F25)</f>
        <v>0</v>
      </c>
      <c r="G27" s="118">
        <f>SUM(G13:G25)</f>
        <v>59771635.969999917</v>
      </c>
      <c r="H27" s="119">
        <f>SUM(H13:H25)</f>
        <v>77546742.190000013</v>
      </c>
      <c r="I27" s="120">
        <f t="shared" si="1"/>
        <v>0</v>
      </c>
      <c r="J27" s="101"/>
      <c r="L27" s="100">
        <f>G40*0.5</f>
        <v>27262119.75</v>
      </c>
      <c r="M27" s="100">
        <f>H40*0.5</f>
        <v>35381030.965000004</v>
      </c>
      <c r="N27" s="64" t="s">
        <v>118</v>
      </c>
    </row>
    <row r="28" spans="2:14" ht="13.8" thickTop="1">
      <c r="B28" s="88" t="s">
        <v>119</v>
      </c>
      <c r="C28" s="89"/>
      <c r="D28" s="110"/>
      <c r="E28" s="111"/>
      <c r="F28" s="92"/>
      <c r="G28" s="98"/>
      <c r="H28" s="99"/>
      <c r="I28" s="100"/>
      <c r="L28" s="120">
        <f>SUM(L26:L27)</f>
        <v>16093370.52</v>
      </c>
      <c r="M28" s="120">
        <f>SUM(M26:M27)</f>
        <v>24199603.735000003</v>
      </c>
      <c r="N28" s="67" t="s">
        <v>120</v>
      </c>
    </row>
    <row r="29" spans="2:14">
      <c r="B29" s="88" t="s">
        <v>121</v>
      </c>
      <c r="C29" s="89"/>
      <c r="D29" s="110"/>
      <c r="E29" s="111"/>
      <c r="F29" s="92"/>
      <c r="G29" s="98"/>
      <c r="H29" s="99"/>
      <c r="I29" s="100"/>
    </row>
    <row r="30" spans="2:14">
      <c r="B30" s="78" t="s">
        <v>122</v>
      </c>
      <c r="C30" s="89"/>
      <c r="D30" s="110"/>
      <c r="E30" s="111"/>
      <c r="F30" s="92"/>
      <c r="G30" s="98"/>
      <c r="H30" s="99"/>
      <c r="I30" s="100"/>
    </row>
    <row r="31" spans="2:14">
      <c r="B31" s="78" t="s">
        <v>123</v>
      </c>
      <c r="C31" s="89">
        <f>+C25+1</f>
        <v>7</v>
      </c>
      <c r="D31" s="95">
        <f>'FA NEW'!K22</f>
        <v>996027</v>
      </c>
      <c r="E31" s="96">
        <f>'FA NEW'!K59</f>
        <v>1168057</v>
      </c>
      <c r="F31" s="121">
        <f>I31/'My Contect'!$E$2</f>
        <v>0</v>
      </c>
      <c r="G31" s="98">
        <f>'FA NEW'!K22</f>
        <v>996027</v>
      </c>
      <c r="H31" s="99">
        <f>'FA NEW'!K59</f>
        <v>1168057</v>
      </c>
      <c r="I31" s="100">
        <f>H31-1168057</f>
        <v>0</v>
      </c>
      <c r="J31" s="100">
        <f>SUM('Trial 2025'!G66:G71)+'Trial 2025'!G216</f>
        <v>1170724.1599999999</v>
      </c>
      <c r="K31" s="100">
        <f>J31-G31-PL!G17</f>
        <v>0</v>
      </c>
      <c r="L31" s="100">
        <f>K31-G63</f>
        <v>8.1956386566162109E-8</v>
      </c>
    </row>
    <row r="32" spans="2:14" hidden="1">
      <c r="B32" s="78" t="s">
        <v>124</v>
      </c>
      <c r="C32" s="89"/>
      <c r="D32" s="95"/>
      <c r="E32" s="96">
        <v>0</v>
      </c>
      <c r="F32" s="121"/>
      <c r="G32" s="98"/>
      <c r="H32" s="99"/>
      <c r="I32" s="100"/>
      <c r="J32" s="100"/>
      <c r="K32" s="100"/>
      <c r="L32" s="100"/>
    </row>
    <row r="33" spans="2:12" hidden="1">
      <c r="B33" s="78" t="s">
        <v>125</v>
      </c>
      <c r="C33" s="89">
        <f>C31</f>
        <v>7</v>
      </c>
      <c r="D33" s="95">
        <f>'BS Assets'!E9</f>
        <v>0</v>
      </c>
      <c r="E33" s="96">
        <f>'BS Assets'!F9</f>
        <v>0</v>
      </c>
      <c r="F33" s="121"/>
      <c r="G33" s="98">
        <f>'BS Assets'!H9</f>
        <v>0</v>
      </c>
      <c r="H33" s="99">
        <f>'BS Assets'!I9</f>
        <v>0</v>
      </c>
      <c r="I33" s="100"/>
      <c r="J33" s="100"/>
      <c r="K33" s="100"/>
      <c r="L33" s="100"/>
    </row>
    <row r="34" spans="2:12" hidden="1">
      <c r="B34" s="78" t="s">
        <v>126</v>
      </c>
      <c r="C34" s="89">
        <f>C33</f>
        <v>7</v>
      </c>
      <c r="D34" s="95">
        <f>'BS Assets'!E18</f>
        <v>0</v>
      </c>
      <c r="E34" s="96">
        <f>'BS Assets'!F18</f>
        <v>0</v>
      </c>
      <c r="F34" s="121">
        <f>I34/'My Contect'!$E$2</f>
        <v>0</v>
      </c>
      <c r="G34" s="98">
        <f>'BS Assets'!H18</f>
        <v>0</v>
      </c>
      <c r="H34" s="99">
        <f>'BS Assets'!I18</f>
        <v>0</v>
      </c>
      <c r="I34" s="100"/>
      <c r="J34" s="100">
        <f>H34-G34</f>
        <v>0</v>
      </c>
      <c r="K34" s="100"/>
      <c r="L34" s="100"/>
    </row>
    <row r="35" spans="2:12" hidden="1">
      <c r="B35" s="122" t="s">
        <v>127</v>
      </c>
      <c r="C35" s="89"/>
      <c r="D35" s="95"/>
      <c r="E35" s="96"/>
      <c r="F35" s="121"/>
      <c r="G35" s="98"/>
      <c r="H35" s="99"/>
      <c r="I35" s="100"/>
      <c r="J35" s="100"/>
      <c r="K35" s="100"/>
      <c r="L35" s="100"/>
    </row>
    <row r="36" spans="2:12" hidden="1">
      <c r="B36" s="78" t="s">
        <v>128</v>
      </c>
      <c r="C36" s="89">
        <f>C34</f>
        <v>7</v>
      </c>
      <c r="D36" s="95">
        <f>'BS Assets'!E26</f>
        <v>0</v>
      </c>
      <c r="E36" s="96">
        <f>'BS Assets'!F26</f>
        <v>0</v>
      </c>
      <c r="F36" s="121"/>
      <c r="G36" s="98">
        <f>'BS Assets'!H26</f>
        <v>0</v>
      </c>
      <c r="H36" s="99">
        <f>'BS Assets'!I26</f>
        <v>0</v>
      </c>
      <c r="I36" s="100"/>
      <c r="J36" s="100"/>
      <c r="K36" s="100"/>
      <c r="L36" s="100"/>
    </row>
    <row r="37" spans="2:12">
      <c r="B37" s="78"/>
      <c r="C37" s="89"/>
      <c r="D37" s="95"/>
      <c r="E37" s="96"/>
      <c r="F37" s="121"/>
      <c r="G37" s="98"/>
      <c r="H37" s="99"/>
      <c r="I37" s="100"/>
      <c r="J37" s="100"/>
      <c r="K37" s="100"/>
      <c r="L37" s="100"/>
    </row>
    <row r="38" spans="2:12">
      <c r="B38" s="88" t="s">
        <v>129</v>
      </c>
      <c r="C38" s="89"/>
      <c r="D38" s="95"/>
      <c r="E38" s="96"/>
      <c r="F38" s="121"/>
      <c r="G38" s="98"/>
      <c r="H38" s="99"/>
      <c r="I38" s="100"/>
      <c r="J38" s="100">
        <f>SUM('Trial 2025'!G11:G171)-J31-'Trial 2025'!G78</f>
        <v>57647623.81000001</v>
      </c>
      <c r="K38" s="100">
        <f>G33+G36+G40+G41+G42+G43</f>
        <v>57821058.969999999</v>
      </c>
      <c r="L38" s="100">
        <f>J38-K38</f>
        <v>-173435.15999998897</v>
      </c>
    </row>
    <row r="39" spans="2:12">
      <c r="B39" s="78" t="s">
        <v>130</v>
      </c>
      <c r="C39" s="89">
        <f>C36+1</f>
        <v>8</v>
      </c>
      <c r="D39" s="95">
        <f>'BS Assets'!E37</f>
        <v>954550.00000000012</v>
      </c>
      <c r="E39" s="96">
        <f>'BS Assets'!F37</f>
        <v>3580000</v>
      </c>
      <c r="F39" s="97">
        <f>I39/'My Contect'!$E$2</f>
        <v>0</v>
      </c>
      <c r="G39" s="98">
        <f>'BS Assets'!H37</f>
        <v>954550.00000000012</v>
      </c>
      <c r="H39" s="99">
        <f>'BS Assets'!I37</f>
        <v>3580000</v>
      </c>
      <c r="I39" s="100"/>
      <c r="J39" s="100"/>
      <c r="K39" s="100"/>
      <c r="L39" s="100"/>
    </row>
    <row r="40" spans="2:12">
      <c r="B40" s="78" t="s">
        <v>131</v>
      </c>
      <c r="C40" s="89">
        <f>C39+1</f>
        <v>9</v>
      </c>
      <c r="D40" s="95">
        <f>'BS Assets'!E46</f>
        <v>54524239.5</v>
      </c>
      <c r="E40" s="96">
        <f>'BS Assets'!F46</f>
        <v>70762061.930000007</v>
      </c>
      <c r="F40" s="121">
        <f>I40/'My Contect'!$E$2</f>
        <v>0</v>
      </c>
      <c r="G40" s="98">
        <f>'BS Assets'!H46</f>
        <v>54524239.5</v>
      </c>
      <c r="H40" s="99">
        <f>'BS Assets'!I46</f>
        <v>70762061.930000007</v>
      </c>
      <c r="I40" s="100"/>
      <c r="J40" s="123"/>
      <c r="L40" s="101"/>
    </row>
    <row r="41" spans="2:12">
      <c r="B41" s="122" t="s">
        <v>132</v>
      </c>
      <c r="C41" s="89">
        <f>C40+1</f>
        <v>10</v>
      </c>
      <c r="D41" s="95">
        <f>'BS Assets'!E72</f>
        <v>658876</v>
      </c>
      <c r="E41" s="96">
        <f>'BS Assets'!F72</f>
        <v>452524</v>
      </c>
      <c r="F41" s="121">
        <f>I41/'My Contect'!$E$2</f>
        <v>0</v>
      </c>
      <c r="G41" s="98">
        <f>'BS Assets'!H72</f>
        <v>658876</v>
      </c>
      <c r="H41" s="99">
        <f>'BS Assets'!I72</f>
        <v>452524</v>
      </c>
      <c r="I41" s="100"/>
      <c r="J41" s="124"/>
    </row>
    <row r="42" spans="2:12">
      <c r="B42" s="78" t="s">
        <v>133</v>
      </c>
      <c r="C42" s="89">
        <f>C41+1</f>
        <v>11</v>
      </c>
      <c r="D42" s="95">
        <f>'BS Assets'!E84</f>
        <v>2637943.4699999997</v>
      </c>
      <c r="E42" s="96">
        <f>'BS Assets'!F84</f>
        <v>1584099.26</v>
      </c>
      <c r="F42" s="121">
        <f>I42/'My Contect'!$E$2</f>
        <v>0</v>
      </c>
      <c r="G42" s="98">
        <f>'BS Assets'!H84</f>
        <v>2637943.4699999997</v>
      </c>
      <c r="H42" s="99">
        <f>'BS Assets'!I84</f>
        <v>1584099.26</v>
      </c>
      <c r="I42" s="100"/>
    </row>
    <row r="43" spans="2:12" hidden="1">
      <c r="B43" s="78" t="s">
        <v>134</v>
      </c>
      <c r="C43" s="89">
        <f>C42</f>
        <v>11</v>
      </c>
      <c r="D43" s="95">
        <f>'BS Assets'!E94</f>
        <v>0</v>
      </c>
      <c r="E43" s="96">
        <f>'BS Assets'!F94</f>
        <v>0</v>
      </c>
      <c r="F43" s="121">
        <f>I43/'My Contect'!$E$2</f>
        <v>0</v>
      </c>
      <c r="G43" s="98">
        <f>'BS Assets'!H94</f>
        <v>0</v>
      </c>
      <c r="H43" s="99">
        <f>'BS Assets'!I94</f>
        <v>0</v>
      </c>
      <c r="I43" s="100"/>
    </row>
    <row r="44" spans="2:12">
      <c r="B44" s="78"/>
      <c r="C44" s="89"/>
      <c r="D44" s="110"/>
      <c r="E44" s="111"/>
      <c r="F44" s="121"/>
      <c r="G44" s="113"/>
      <c r="H44" s="114"/>
      <c r="I44" s="100"/>
    </row>
    <row r="45" spans="2:12" ht="13.8" thickBot="1">
      <c r="B45" s="125" t="s">
        <v>117</v>
      </c>
      <c r="C45" s="126"/>
      <c r="D45" s="116">
        <f t="shared" ref="D45:I45" si="2">SUM(D31:D43)</f>
        <v>59771635.969999999</v>
      </c>
      <c r="E45" s="117">
        <f t="shared" si="2"/>
        <v>77546742.190000013</v>
      </c>
      <c r="F45" s="127">
        <f t="shared" si="2"/>
        <v>0</v>
      </c>
      <c r="G45" s="118">
        <f>SUM(G31:G43)</f>
        <v>59771635.969999999</v>
      </c>
      <c r="H45" s="119">
        <f t="shared" si="2"/>
        <v>77546742.190000013</v>
      </c>
      <c r="I45" s="120">
        <f t="shared" si="2"/>
        <v>0</v>
      </c>
      <c r="J45" s="101"/>
    </row>
    <row r="46" spans="2:12" ht="13.8" thickTop="1">
      <c r="B46" s="128" t="s">
        <v>135</v>
      </c>
      <c r="C46" s="129">
        <v>1.1000000000000001</v>
      </c>
      <c r="D46" s="129"/>
      <c r="E46" s="130"/>
      <c r="F46" s="129"/>
      <c r="G46" s="129"/>
      <c r="H46" s="131"/>
      <c r="J46" s="132"/>
    </row>
    <row r="47" spans="2:12">
      <c r="B47" s="128" t="s">
        <v>136</v>
      </c>
      <c r="C47" s="133"/>
      <c r="D47" s="133"/>
      <c r="E47" s="134"/>
      <c r="F47" s="133"/>
      <c r="G47" s="133"/>
      <c r="H47" s="135"/>
    </row>
    <row r="48" spans="2:12">
      <c r="B48" s="128" t="s">
        <v>137</v>
      </c>
      <c r="C48" s="136"/>
      <c r="D48" s="136"/>
      <c r="E48" s="137"/>
      <c r="F48" s="136"/>
      <c r="G48" s="136"/>
      <c r="H48" s="137"/>
    </row>
    <row r="49" spans="2:9">
      <c r="B49" s="128"/>
      <c r="C49" s="136"/>
      <c r="D49" s="136"/>
      <c r="E49" s="137"/>
      <c r="F49" s="136"/>
      <c r="G49" s="136"/>
      <c r="H49" s="137"/>
    </row>
    <row r="50" spans="2:9">
      <c r="B50" s="138" t="str">
        <f>CONCATENATE("FOR ",'My Contect'!D51)</f>
        <v>FOR KUMAR GUPTA &amp; ASSOCIATES</v>
      </c>
      <c r="E50" s="139"/>
      <c r="H50" s="140"/>
    </row>
    <row r="51" spans="2:9">
      <c r="B51" s="138" t="s">
        <v>86</v>
      </c>
      <c r="C51" s="141" t="str">
        <f>(CONCATENATE("FOR ",'My Contect'!D4))</f>
        <v>FOR SINGLA STEEL CORPORATION</v>
      </c>
      <c r="D51" s="141"/>
      <c r="E51" s="142"/>
      <c r="F51" s="141"/>
      <c r="G51" s="141"/>
      <c r="H51" s="142"/>
    </row>
    <row r="52" spans="2:9">
      <c r="B52" s="138" t="str">
        <f>CONCATENATE("Firm Registration No. ",'My Contect'!D58)</f>
        <v>Firm Registration No. 035355N</v>
      </c>
      <c r="E52" s="139"/>
      <c r="H52" s="143"/>
    </row>
    <row r="53" spans="2:9">
      <c r="B53" s="138"/>
      <c r="E53" s="139"/>
      <c r="H53" s="143"/>
    </row>
    <row r="54" spans="2:9">
      <c r="B54" s="138"/>
      <c r="E54" s="139"/>
      <c r="H54" s="143"/>
    </row>
    <row r="55" spans="2:9">
      <c r="B55" s="138"/>
      <c r="C55" s="144"/>
      <c r="E55" s="139"/>
      <c r="H55" s="143"/>
    </row>
    <row r="56" spans="2:9">
      <c r="B56" s="138"/>
      <c r="E56" s="139"/>
      <c r="G56" s="82"/>
      <c r="H56" s="145"/>
    </row>
    <row r="57" spans="2:9">
      <c r="B57" s="138" t="str">
        <f>UPPER(CONCATENATE("(",'My Contect'!D60,")"))</f>
        <v>(CA. KESHAV GUPTA)</v>
      </c>
      <c r="C57" s="144" t="str">
        <f>'My Contect'!D5</f>
        <v>ASHWANI KUMAR SINGLA</v>
      </c>
      <c r="D57" s="144"/>
      <c r="E57" s="146"/>
      <c r="F57" s="144"/>
      <c r="H57" s="139"/>
    </row>
    <row r="58" spans="2:9">
      <c r="B58" s="138" t="str">
        <f>UPPER('My Contect'!D62)</f>
        <v>PROPRIETOR</v>
      </c>
      <c r="C58" s="144" t="str">
        <f>'My Contect'!D6</f>
        <v>PROPRIETOR</v>
      </c>
      <c r="D58" s="147"/>
      <c r="E58" s="148"/>
      <c r="F58" s="147"/>
      <c r="H58" s="139"/>
    </row>
    <row r="59" spans="2:9">
      <c r="B59" s="138" t="str">
        <f>UPPER(CONCATENATE("(",'My Contect'!D61,")"))</f>
        <v>(M.NO. 553123)</v>
      </c>
      <c r="C59" s="147"/>
      <c r="D59" s="149"/>
      <c r="E59" s="146"/>
      <c r="F59" s="149"/>
      <c r="H59" s="139"/>
    </row>
    <row r="60" spans="2:9">
      <c r="B60" s="138" t="s">
        <v>138</v>
      </c>
      <c r="E60" s="139"/>
      <c r="G60" s="82"/>
      <c r="H60" s="150"/>
    </row>
    <row r="61" spans="2:9">
      <c r="B61" s="128" t="s">
        <v>139</v>
      </c>
      <c r="C61" s="67"/>
      <c r="D61" s="67"/>
      <c r="E61" s="151"/>
      <c r="F61" s="67"/>
      <c r="G61" s="67"/>
      <c r="H61" s="151"/>
    </row>
    <row r="62" spans="2:9" ht="13.8" thickBot="1">
      <c r="B62" s="152" t="s">
        <v>140</v>
      </c>
      <c r="C62" s="153"/>
      <c r="D62" s="153"/>
      <c r="E62" s="154"/>
      <c r="F62" s="128"/>
      <c r="G62" s="153"/>
      <c r="H62" s="154"/>
    </row>
    <row r="63" spans="2:9">
      <c r="C63" s="67" t="s">
        <v>141</v>
      </c>
      <c r="D63" s="155">
        <f>(D27-D45)*'My Contect'!E2</f>
        <v>-8.1956386566162109E-8</v>
      </c>
      <c r="E63" s="155">
        <f>(E27-E45)*'My Contect'!E2</f>
        <v>0</v>
      </c>
      <c r="F63" s="156">
        <f>F27-F45</f>
        <v>0</v>
      </c>
      <c r="G63" s="157">
        <f>G27-G45</f>
        <v>-8.1956386566162109E-8</v>
      </c>
      <c r="H63" s="158">
        <f>H27-H45</f>
        <v>0</v>
      </c>
      <c r="I63" s="100">
        <f>I27-I45</f>
        <v>0</v>
      </c>
    </row>
    <row r="65" spans="7:7">
      <c r="G65" s="100"/>
    </row>
    <row r="66" spans="7:7">
      <c r="G66" s="155"/>
    </row>
  </sheetData>
  <mergeCells count="3">
    <mergeCell ref="B1:E1"/>
    <mergeCell ref="B2:E2"/>
    <mergeCell ref="B4:E4"/>
  </mergeCells>
  <pageMargins left="0.7" right="0.7" top="0.75" bottom="0.75" header="0.3" footer="0.3"/>
  <pageSetup paperSize="9" scale="96"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06A06-7F3D-4B8B-9069-8473CC8F38E7}">
  <sheetPr>
    <tabColor rgb="FF92D050"/>
  </sheetPr>
  <dimension ref="B1:M56"/>
  <sheetViews>
    <sheetView topLeftCell="A17" zoomScaleNormal="100" zoomScaleSheetLayoutView="100" workbookViewId="0">
      <selection activeCell="I20" sqref="I20"/>
    </sheetView>
  </sheetViews>
  <sheetFormatPr defaultColWidth="9.109375" defaultRowHeight="13.2"/>
  <cols>
    <col min="1" max="1" width="2.109375" style="64" customWidth="1"/>
    <col min="2" max="2" width="42.88671875" style="64" customWidth="1"/>
    <col min="3" max="3" width="7.109375" style="64" customWidth="1"/>
    <col min="4" max="5" width="18.5546875" style="64" customWidth="1"/>
    <col min="6" max="6" width="5.6640625" style="64" customWidth="1"/>
    <col min="7" max="8" width="19.33203125" style="64" customWidth="1"/>
    <col min="9" max="9" width="12.6640625" style="64" bestFit="1" customWidth="1"/>
    <col min="10" max="10" width="15.5546875" style="64" bestFit="1" customWidth="1"/>
    <col min="11" max="11" width="12" style="64" bestFit="1" customWidth="1"/>
    <col min="12" max="12" width="14.5546875" style="64" bestFit="1" customWidth="1"/>
    <col min="13" max="13" width="15.5546875" style="64" bestFit="1" customWidth="1"/>
    <col min="14" max="16384" width="9.109375" style="64"/>
  </cols>
  <sheetData>
    <row r="1" spans="2:13" ht="15.6">
      <c r="B1" s="62" t="str">
        <f>BS!B1</f>
        <v>SINGLA STEEL CORPORATION</v>
      </c>
      <c r="C1" s="62"/>
      <c r="D1" s="62"/>
      <c r="E1" s="62"/>
      <c r="F1" s="63"/>
      <c r="G1" s="63"/>
      <c r="H1" s="63"/>
    </row>
    <row r="2" spans="2:13" ht="15.6" hidden="1">
      <c r="B2" s="65" t="str">
        <f>BS!B2</f>
        <v>CIN - U17309PB2020PTC052239</v>
      </c>
      <c r="C2" s="65"/>
      <c r="D2" s="65"/>
      <c r="E2" s="65"/>
      <c r="F2" s="63"/>
      <c r="G2" s="63"/>
      <c r="H2" s="63"/>
    </row>
    <row r="3" spans="2:13" ht="15.6" hidden="1">
      <c r="B3" s="159"/>
      <c r="C3" s="159"/>
      <c r="D3" s="159"/>
      <c r="E3" s="159"/>
      <c r="F3" s="63"/>
      <c r="G3" s="63"/>
      <c r="H3" s="63"/>
    </row>
    <row r="4" spans="2:13" ht="13.8">
      <c r="B4" s="66" t="str">
        <f>CONCATENATE("Profit and Loss Statement for the year ended ",'My Contect'!E15,"")</f>
        <v>Profit and Loss Statement for the year ended 31.03.2025</v>
      </c>
      <c r="C4" s="66"/>
      <c r="D4" s="66"/>
      <c r="E4" s="66"/>
      <c r="F4" s="67"/>
      <c r="G4" s="67"/>
      <c r="H4" s="67"/>
    </row>
    <row r="5" spans="2:13" ht="13.8" thickBot="1">
      <c r="B5" s="68"/>
      <c r="C5" s="68"/>
      <c r="D5" s="68"/>
      <c r="E5" s="69" t="str">
        <f>BS!E5</f>
        <v>(Amount in INR)</v>
      </c>
      <c r="F5" s="68"/>
      <c r="G5" s="68"/>
      <c r="H5" s="68"/>
    </row>
    <row r="6" spans="2:13" ht="51" customHeight="1">
      <c r="B6" s="160" t="s">
        <v>97</v>
      </c>
      <c r="C6" s="161" t="s">
        <v>98</v>
      </c>
      <c r="D6" s="162" t="str">
        <f>CONCATENATE("For the year ended ",'My Contect'!E15,"")</f>
        <v>For the year ended 31.03.2025</v>
      </c>
      <c r="E6" s="163" t="str">
        <f>CONCATENATE("For the year ended ",'My Contect'!E16,"")</f>
        <v>For the year ended 31.03.2024</v>
      </c>
      <c r="F6" s="164"/>
      <c r="G6" s="165" t="str">
        <f>CONCATENATE("For the year ended ",'My Contect'!E15,"
Amount (Rs.)")</f>
        <v>For the year ended 31.03.2025
Amount (Rs.)</v>
      </c>
      <c r="H6" s="166" t="str">
        <f>CONCATENATE("For the year ended ",'My Contect'!E16,"
Amount (Rs.)")</f>
        <v>For the year ended 31.03.2024
Amount (Rs.)</v>
      </c>
    </row>
    <row r="7" spans="2:13">
      <c r="B7" s="167"/>
      <c r="C7" s="168"/>
      <c r="D7" s="169"/>
      <c r="E7" s="170"/>
      <c r="F7" s="82"/>
      <c r="G7" s="171"/>
      <c r="H7" s="172"/>
      <c r="K7" s="101"/>
    </row>
    <row r="8" spans="2:13">
      <c r="B8" s="78" t="s">
        <v>142</v>
      </c>
      <c r="C8" s="89">
        <f>+BS!C43+1</f>
        <v>12</v>
      </c>
      <c r="D8" s="173">
        <f>'PL Det'!D9</f>
        <v>348717955.33999997</v>
      </c>
      <c r="E8" s="96">
        <f>'PL Det'!E9</f>
        <v>520171626</v>
      </c>
      <c r="F8" s="92"/>
      <c r="G8" s="98">
        <f>'PL Det'!G9</f>
        <v>348717955.33999997</v>
      </c>
      <c r="H8" s="99">
        <f>'PL Det'!H9</f>
        <v>520171626</v>
      </c>
      <c r="L8" s="132"/>
      <c r="M8" s="101"/>
    </row>
    <row r="9" spans="2:13">
      <c r="B9" s="78" t="s">
        <v>143</v>
      </c>
      <c r="C9" s="89">
        <f>+C8+1</f>
        <v>13</v>
      </c>
      <c r="D9" s="173">
        <f>'PL Det'!D18</f>
        <v>5483</v>
      </c>
      <c r="E9" s="96">
        <f>'PL Det'!E18</f>
        <v>70853</v>
      </c>
      <c r="F9" s="92"/>
      <c r="G9" s="98">
        <f>'PL Det'!G18</f>
        <v>5483</v>
      </c>
      <c r="H9" s="99">
        <f>'PL Det'!H18</f>
        <v>70853</v>
      </c>
      <c r="L9" s="100"/>
      <c r="M9" s="101"/>
    </row>
    <row r="10" spans="2:13">
      <c r="B10" s="78"/>
      <c r="C10" s="89"/>
      <c r="D10" s="174"/>
      <c r="E10" s="111"/>
      <c r="F10" s="92"/>
      <c r="G10" s="98"/>
      <c r="H10" s="99"/>
    </row>
    <row r="11" spans="2:13" ht="13.8" thickBot="1">
      <c r="B11" s="175" t="s">
        <v>144</v>
      </c>
      <c r="C11" s="89"/>
      <c r="D11" s="176">
        <f>D8+D9</f>
        <v>348723438.33999997</v>
      </c>
      <c r="E11" s="177">
        <f>E8+E9</f>
        <v>520242479</v>
      </c>
      <c r="F11" s="92"/>
      <c r="G11" s="176">
        <f>G8+G9</f>
        <v>348723438.33999997</v>
      </c>
      <c r="H11" s="177">
        <f>H8+H9</f>
        <v>520242479</v>
      </c>
      <c r="J11" s="100">
        <f>SUM('Trial 2025'!H173:H229)</f>
        <v>348723438.33999997</v>
      </c>
      <c r="K11" s="100">
        <f>G11-J11</f>
        <v>0</v>
      </c>
    </row>
    <row r="12" spans="2:13" ht="13.8" thickTop="1">
      <c r="B12" s="78" t="s">
        <v>145</v>
      </c>
      <c r="C12" s="89"/>
      <c r="D12" s="174"/>
      <c r="E12" s="111"/>
      <c r="F12" s="92"/>
      <c r="G12" s="98"/>
      <c r="H12" s="99"/>
    </row>
    <row r="13" spans="2:13" hidden="1">
      <c r="B13" s="78" t="s">
        <v>146</v>
      </c>
      <c r="C13" s="178">
        <f>C9</f>
        <v>13</v>
      </c>
      <c r="D13" s="173">
        <f>'PL Det'!D26</f>
        <v>0</v>
      </c>
      <c r="E13" s="96">
        <f>'PL Det'!E26</f>
        <v>0</v>
      </c>
      <c r="F13" s="92"/>
      <c r="G13" s="98">
        <f>'PL Det'!G26</f>
        <v>0</v>
      </c>
      <c r="H13" s="99">
        <f>'PL Det'!H26</f>
        <v>0</v>
      </c>
    </row>
    <row r="14" spans="2:13">
      <c r="B14" s="78" t="s">
        <v>147</v>
      </c>
      <c r="C14" s="89">
        <f t="shared" ref="C14:C19" si="0">C13+1</f>
        <v>14</v>
      </c>
      <c r="D14" s="173">
        <f>'PL Det'!D34</f>
        <v>341333994.05000001</v>
      </c>
      <c r="E14" s="96">
        <f>'PL Det'!E34</f>
        <v>511749358.12</v>
      </c>
      <c r="F14" s="92"/>
      <c r="G14" s="98">
        <f>'PL Det'!G34</f>
        <v>341333994.05000001</v>
      </c>
      <c r="H14" s="99">
        <f>'PL Det'!H34</f>
        <v>511749358.12</v>
      </c>
      <c r="J14" s="101">
        <f>H8-H14-H15-5861691.88</f>
        <v>0</v>
      </c>
      <c r="L14" s="101"/>
      <c r="M14" s="101"/>
    </row>
    <row r="15" spans="2:13" ht="25.5" customHeight="1">
      <c r="B15" s="122" t="s">
        <v>148</v>
      </c>
      <c r="C15" s="89">
        <f>C14+1</f>
        <v>15</v>
      </c>
      <c r="D15" s="173">
        <f>'PL Det'!D50</f>
        <v>2625450</v>
      </c>
      <c r="E15" s="96">
        <f>'PL Det'!E50</f>
        <v>2560576</v>
      </c>
      <c r="F15" s="92"/>
      <c r="G15" s="98">
        <f>'PL Det'!G50</f>
        <v>2625450</v>
      </c>
      <c r="H15" s="99">
        <f>'PL Det'!H50</f>
        <v>2560576</v>
      </c>
      <c r="L15" s="100"/>
      <c r="M15" s="101"/>
    </row>
    <row r="16" spans="2:13">
      <c r="B16" s="78" t="s">
        <v>149</v>
      </c>
      <c r="C16" s="89">
        <f>C15+1</f>
        <v>16</v>
      </c>
      <c r="D16" s="173">
        <f>'PL Det'!D84</f>
        <v>566883</v>
      </c>
      <c r="E16" s="96">
        <f>'PL Det'!E84</f>
        <v>198358</v>
      </c>
      <c r="F16" s="92"/>
      <c r="G16" s="98">
        <f>'PL Det'!G84</f>
        <v>566883</v>
      </c>
      <c r="H16" s="99">
        <f>'PL Det'!H84</f>
        <v>198358</v>
      </c>
      <c r="L16" s="100"/>
      <c r="M16" s="101"/>
    </row>
    <row r="17" spans="2:13">
      <c r="B17" s="78" t="s">
        <v>150</v>
      </c>
      <c r="C17" s="89">
        <f t="shared" si="0"/>
        <v>17</v>
      </c>
      <c r="D17" s="173">
        <f>'PL Det'!D99</f>
        <v>174697.16</v>
      </c>
      <c r="E17" s="96">
        <f>'PL Det'!E101</f>
        <v>196090.53</v>
      </c>
      <c r="F17" s="92"/>
      <c r="G17" s="98">
        <f>'PL Det'!G99</f>
        <v>174697.16</v>
      </c>
      <c r="H17" s="99">
        <f>'PL Det'!H101</f>
        <v>196090.53</v>
      </c>
      <c r="I17" s="101">
        <f>G17-173435.16</f>
        <v>1262</v>
      </c>
      <c r="K17" s="101">
        <f>G17-'Trial 2025'!G216</f>
        <v>1262</v>
      </c>
      <c r="L17" s="100"/>
      <c r="M17" s="101"/>
    </row>
    <row r="18" spans="2:13">
      <c r="B18" s="78" t="s">
        <v>151</v>
      </c>
      <c r="C18" s="89">
        <f>C17+1</f>
        <v>18</v>
      </c>
      <c r="D18" s="173">
        <f>'PL Det'!D113</f>
        <v>607712</v>
      </c>
      <c r="E18" s="96">
        <f>'PL Det'!E113</f>
        <v>375573.8</v>
      </c>
      <c r="F18" s="92"/>
      <c r="G18" s="98">
        <f>'PL Det'!G113</f>
        <v>607712</v>
      </c>
      <c r="H18" s="99">
        <f>'PL Det'!H113</f>
        <v>375573.8</v>
      </c>
      <c r="L18" s="100"/>
      <c r="M18" s="101"/>
    </row>
    <row r="19" spans="2:13">
      <c r="B19" s="78" t="s">
        <v>152</v>
      </c>
      <c r="C19" s="89">
        <f t="shared" si="0"/>
        <v>19</v>
      </c>
      <c r="D19" s="173">
        <f>'PL Det'!D134</f>
        <v>2541168.9700000002</v>
      </c>
      <c r="E19" s="96">
        <f>'PL Det'!E134</f>
        <v>3692569.31</v>
      </c>
      <c r="F19" s="92"/>
      <c r="G19" s="98">
        <f>'PL Det'!G134</f>
        <v>2541168.9700000002</v>
      </c>
      <c r="H19" s="99">
        <f>'PL Det'!H134</f>
        <v>3692569.31</v>
      </c>
      <c r="L19" s="100"/>
      <c r="M19" s="101"/>
    </row>
    <row r="20" spans="2:13">
      <c r="B20" s="78"/>
      <c r="C20" s="89"/>
      <c r="D20" s="174"/>
      <c r="E20" s="111"/>
      <c r="F20" s="92"/>
      <c r="G20" s="98"/>
      <c r="H20" s="99"/>
    </row>
    <row r="21" spans="2:13">
      <c r="B21" s="175" t="s">
        <v>153</v>
      </c>
      <c r="C21" s="89"/>
      <c r="D21" s="109">
        <f>SUM(D13:D19)</f>
        <v>347849905.18000007</v>
      </c>
      <c r="E21" s="107">
        <f>SUM(E13:E19)</f>
        <v>518772525.75999999</v>
      </c>
      <c r="F21" s="92"/>
      <c r="G21" s="109">
        <f>SUM(G13:G19)</f>
        <v>347849905.18000007</v>
      </c>
      <c r="H21" s="107">
        <f>SUM(H13:H19)</f>
        <v>518772525.75999999</v>
      </c>
      <c r="J21" s="100">
        <f>SUM('Trial 2025'!G172:G229)</f>
        <v>345223193.18000013</v>
      </c>
      <c r="K21" s="100">
        <f>J21-G14-G16-G17-G18-G19</f>
        <v>-1261.999999885913</v>
      </c>
      <c r="L21" s="132"/>
      <c r="M21" s="101"/>
    </row>
    <row r="22" spans="2:13">
      <c r="B22" s="78"/>
      <c r="C22" s="79"/>
      <c r="D22" s="174"/>
      <c r="E22" s="111"/>
      <c r="F22" s="82"/>
      <c r="G22" s="179"/>
      <c r="H22" s="99"/>
      <c r="J22" s="100"/>
      <c r="K22" s="100"/>
      <c r="L22" s="132"/>
    </row>
    <row r="23" spans="2:13">
      <c r="B23" s="122" t="s">
        <v>154</v>
      </c>
      <c r="C23" s="79"/>
      <c r="D23" s="105">
        <f>D11-D21</f>
        <v>873533.15999990702</v>
      </c>
      <c r="E23" s="103">
        <f>E11-E21</f>
        <v>1469953.2400000095</v>
      </c>
      <c r="F23" s="82"/>
      <c r="G23" s="105">
        <f>G11-G21</f>
        <v>873533.15999990702</v>
      </c>
      <c r="H23" s="103">
        <f>H11-H21</f>
        <v>1469953.2400000095</v>
      </c>
      <c r="I23" s="100">
        <f>889745.16-15000</f>
        <v>874745.16</v>
      </c>
      <c r="J23" s="100">
        <v>1469953.24</v>
      </c>
      <c r="K23" s="100"/>
      <c r="L23" s="101"/>
      <c r="M23" s="101"/>
    </row>
    <row r="24" spans="2:13">
      <c r="B24" s="180"/>
      <c r="C24" s="79"/>
      <c r="D24" s="174"/>
      <c r="E24" s="111"/>
      <c r="F24" s="82"/>
      <c r="G24" s="98"/>
      <c r="H24" s="103"/>
      <c r="I24" s="100">
        <f>G23-I23</f>
        <v>-1212.0000000930158</v>
      </c>
      <c r="J24" s="100">
        <f>H23-J23</f>
        <v>9.5460563898086548E-9</v>
      </c>
      <c r="K24" s="100">
        <f>I24-K21</f>
        <v>49.999999792897142</v>
      </c>
      <c r="L24" s="132"/>
    </row>
    <row r="25" spans="2:13">
      <c r="B25" s="78" t="s">
        <v>155</v>
      </c>
      <c r="C25" s="79"/>
      <c r="D25" s="174"/>
      <c r="E25" s="111"/>
      <c r="F25" s="82"/>
      <c r="G25" s="98"/>
      <c r="H25" s="99"/>
    </row>
    <row r="26" spans="2:13">
      <c r="B26" s="78" t="s">
        <v>156</v>
      </c>
      <c r="C26" s="181"/>
      <c r="D26" s="173">
        <f>G26/'My Contect'!$E$2</f>
        <v>38850</v>
      </c>
      <c r="E26" s="96">
        <f>H26/'My Contect'!$E$2</f>
        <v>0</v>
      </c>
      <c r="F26" s="182"/>
      <c r="G26" s="98">
        <f>'[1]COI_AY2020-21'!G31</f>
        <v>38850</v>
      </c>
      <c r="H26" s="99">
        <v>0</v>
      </c>
      <c r="L26" s="183"/>
    </row>
    <row r="27" spans="2:13" hidden="1">
      <c r="B27" s="78" t="s">
        <v>157</v>
      </c>
      <c r="C27" s="79"/>
      <c r="D27" s="173">
        <f>G27/'My Contect'!$E$2</f>
        <v>0</v>
      </c>
      <c r="E27" s="96">
        <f>H27/'My Contect'!$E$2</f>
        <v>0</v>
      </c>
      <c r="F27" s="82"/>
      <c r="G27" s="98">
        <f>+'BS Assets'!I18-'BS Assets'!H18</f>
        <v>0</v>
      </c>
      <c r="H27" s="99">
        <v>0</v>
      </c>
    </row>
    <row r="28" spans="2:13" hidden="1">
      <c r="B28" s="78" t="s">
        <v>158</v>
      </c>
      <c r="C28" s="184"/>
      <c r="D28" s="173">
        <f>G28/'My Contect'!$E$2</f>
        <v>0</v>
      </c>
      <c r="E28" s="96">
        <f>H28/'My Contect'!$E$2</f>
        <v>0</v>
      </c>
      <c r="F28" s="184"/>
      <c r="G28" s="98">
        <f>'Trial 2025'!G213</f>
        <v>0</v>
      </c>
      <c r="H28" s="99">
        <v>0</v>
      </c>
    </row>
    <row r="29" spans="2:13">
      <c r="B29" s="78"/>
      <c r="C29" s="79"/>
      <c r="D29" s="174"/>
      <c r="E29" s="111"/>
      <c r="F29" s="82"/>
      <c r="G29" s="98"/>
      <c r="H29" s="99"/>
    </row>
    <row r="30" spans="2:13" ht="13.8" thickBot="1">
      <c r="B30" s="185" t="s">
        <v>159</v>
      </c>
      <c r="C30" s="186"/>
      <c r="D30" s="176">
        <f>D23-SUM(D26:D28)</f>
        <v>834683.15999990702</v>
      </c>
      <c r="E30" s="177">
        <f>E23-SUM(E26:E28)</f>
        <v>1469953.2400000095</v>
      </c>
      <c r="F30" s="82"/>
      <c r="G30" s="176">
        <f>G23-SUM(G26:G28)</f>
        <v>834683.15999990702</v>
      </c>
      <c r="H30" s="177">
        <f>H23-SUM(H26:H28)</f>
        <v>1469953.2400000095</v>
      </c>
      <c r="I30" s="101"/>
      <c r="J30" s="101"/>
      <c r="K30" s="101"/>
      <c r="L30" s="100">
        <v>556292.47</v>
      </c>
      <c r="M30" s="100">
        <f>H30-L30</f>
        <v>913660.77000000956</v>
      </c>
    </row>
    <row r="31" spans="2:13" ht="13.8" thickTop="1">
      <c r="B31" s="128"/>
      <c r="C31" s="82"/>
      <c r="D31" s="187"/>
      <c r="E31" s="188"/>
      <c r="F31" s="82"/>
      <c r="G31" s="189"/>
      <c r="H31" s="190"/>
    </row>
    <row r="32" spans="2:13">
      <c r="B32" s="128" t="s">
        <v>135</v>
      </c>
      <c r="C32" s="129">
        <f>BS!C46</f>
        <v>1.1000000000000001</v>
      </c>
      <c r="D32" s="129"/>
      <c r="E32" s="130"/>
      <c r="F32" s="191"/>
      <c r="G32" s="129"/>
      <c r="H32" s="134"/>
    </row>
    <row r="33" spans="2:8">
      <c r="B33" s="128" t="s">
        <v>160</v>
      </c>
      <c r="C33" s="67"/>
      <c r="D33" s="67"/>
      <c r="E33" s="151"/>
      <c r="F33" s="67"/>
      <c r="G33" s="67"/>
      <c r="H33" s="151"/>
    </row>
    <row r="34" spans="2:8">
      <c r="B34" s="128" t="s">
        <v>161</v>
      </c>
      <c r="C34" s="144"/>
      <c r="D34" s="144"/>
      <c r="E34" s="140"/>
      <c r="F34" s="144"/>
      <c r="G34" s="144"/>
      <c r="H34" s="140"/>
    </row>
    <row r="35" spans="2:8">
      <c r="B35" s="128"/>
      <c r="C35" s="144"/>
      <c r="D35" s="144"/>
      <c r="E35" s="140"/>
      <c r="F35" s="144"/>
      <c r="G35" s="144"/>
      <c r="H35" s="140"/>
    </row>
    <row r="36" spans="2:8">
      <c r="B36" s="138" t="str">
        <f>BS!B50</f>
        <v>FOR KUMAR GUPTA &amp; ASSOCIATES</v>
      </c>
      <c r="C36" s="144"/>
      <c r="D36" s="144"/>
      <c r="E36" s="140"/>
      <c r="F36" s="144"/>
      <c r="G36" s="144"/>
      <c r="H36" s="139"/>
    </row>
    <row r="37" spans="2:8">
      <c r="B37" s="138" t="str">
        <f>BS!B51</f>
        <v>CHARTERED ACCOUNTANTS</v>
      </c>
      <c r="C37" s="141" t="str">
        <f>BS!C51</f>
        <v>FOR SINGLA STEEL CORPORATION</v>
      </c>
      <c r="D37" s="141"/>
      <c r="E37" s="142"/>
      <c r="F37" s="141"/>
      <c r="G37" s="141"/>
      <c r="H37" s="142"/>
    </row>
    <row r="38" spans="2:8">
      <c r="B38" s="138" t="str">
        <f>BS!B52</f>
        <v>Firm Registration No. 035355N</v>
      </c>
      <c r="E38" s="139"/>
      <c r="H38" s="143"/>
    </row>
    <row r="39" spans="2:8">
      <c r="B39" s="138"/>
      <c r="E39" s="139"/>
      <c r="H39" s="143"/>
    </row>
    <row r="40" spans="2:8">
      <c r="B40" s="138"/>
      <c r="E40" s="139"/>
      <c r="H40" s="143"/>
    </row>
    <row r="41" spans="2:8">
      <c r="B41" s="138"/>
      <c r="C41" s="144"/>
      <c r="E41" s="139"/>
      <c r="H41" s="143"/>
    </row>
    <row r="42" spans="2:8">
      <c r="B42" s="138"/>
      <c r="E42" s="139"/>
      <c r="H42" s="143"/>
    </row>
    <row r="43" spans="2:8">
      <c r="B43" s="138" t="str">
        <f>BS!B57</f>
        <v>(CA. KESHAV GUPTA)</v>
      </c>
      <c r="C43" s="141" t="str">
        <f>BS!C57</f>
        <v>ASHWANI KUMAR SINGLA</v>
      </c>
      <c r="E43" s="142"/>
      <c r="G43" s="192" t="str">
        <f>BS!C57</f>
        <v>ASHWANI KUMAR SINGLA</v>
      </c>
      <c r="H43" s="143"/>
    </row>
    <row r="44" spans="2:8">
      <c r="B44" s="138" t="str">
        <f>BS!B58</f>
        <v>PROPRIETOR</v>
      </c>
      <c r="C44" s="141" t="str">
        <f>BS!C58</f>
        <v>PROPRIETOR</v>
      </c>
      <c r="E44" s="142"/>
      <c r="G44" s="192" t="str">
        <f>BS!C58</f>
        <v>PROPRIETOR</v>
      </c>
      <c r="H44" s="143"/>
    </row>
    <row r="45" spans="2:8">
      <c r="B45" s="138" t="str">
        <f>BS!B59</f>
        <v>(M.NO. 553123)</v>
      </c>
      <c r="C45" s="141"/>
      <c r="E45" s="142"/>
      <c r="G45" s="193"/>
      <c r="H45" s="143"/>
    </row>
    <row r="46" spans="2:8">
      <c r="B46" s="138" t="str">
        <f>BS!B60</f>
        <v>UDIN : 25553123BMLDXE6873</v>
      </c>
      <c r="E46" s="139"/>
      <c r="H46" s="143"/>
    </row>
    <row r="47" spans="2:8">
      <c r="B47" s="138" t="str">
        <f>BS!B61</f>
        <v xml:space="preserve">Place  : Ludhiana           </v>
      </c>
      <c r="E47" s="139"/>
      <c r="H47" s="143"/>
    </row>
    <row r="48" spans="2:8" ht="13.8" thickBot="1">
      <c r="B48" s="194" t="str">
        <f>BS!B62</f>
        <v>Dated  :  04-Oct-2025</v>
      </c>
      <c r="C48" s="195"/>
      <c r="D48" s="195"/>
      <c r="E48" s="196"/>
      <c r="G48" s="82"/>
      <c r="H48" s="143"/>
    </row>
    <row r="50" spans="2:10">
      <c r="B50" s="64" t="s">
        <v>162</v>
      </c>
      <c r="D50" s="197">
        <f>D8-D13-D14-D15</f>
        <v>4758511.2899999619</v>
      </c>
      <c r="E50" s="197">
        <f>E8-E13-E14-E15</f>
        <v>5861691.8799999952</v>
      </c>
      <c r="F50" s="197">
        <f>F8-F13-F14-F15</f>
        <v>0</v>
      </c>
      <c r="G50" s="197">
        <f>G8-G13-G14-G15</f>
        <v>4758511.2899999619</v>
      </c>
      <c r="H50" s="197">
        <f>H8-H13-H14-H15</f>
        <v>5861691.8799999952</v>
      </c>
      <c r="J50" s="64">
        <v>4684488.29</v>
      </c>
    </row>
    <row r="51" spans="2:10">
      <c r="B51" s="64" t="s">
        <v>163</v>
      </c>
      <c r="D51" s="198">
        <f>D50/D11</f>
        <v>1.364551609335902E-2</v>
      </c>
      <c r="E51" s="198">
        <f>E50/E11</f>
        <v>1.1267230410071907E-2</v>
      </c>
      <c r="F51" s="198"/>
      <c r="G51" s="198">
        <f>G50/G11</f>
        <v>1.364551609335902E-2</v>
      </c>
      <c r="H51" s="198">
        <f>H50/H11</f>
        <v>1.1267230410071907E-2</v>
      </c>
    </row>
    <row r="53" spans="2:10">
      <c r="B53" s="64" t="s">
        <v>164</v>
      </c>
      <c r="D53" s="199">
        <f t="shared" ref="D53:E53" si="1">D23</f>
        <v>873533.15999990702</v>
      </c>
      <c r="E53" s="199">
        <f t="shared" si="1"/>
        <v>1469953.2400000095</v>
      </c>
      <c r="G53" s="199">
        <f>G23</f>
        <v>873533.15999990702</v>
      </c>
      <c r="H53" s="199">
        <f>H23</f>
        <v>1469953.2400000095</v>
      </c>
    </row>
    <row r="54" spans="2:10">
      <c r="B54" s="64" t="s">
        <v>165</v>
      </c>
      <c r="D54" s="198">
        <f>D53/D11</f>
        <v>2.5049453634608458E-3</v>
      </c>
      <c r="E54" s="198">
        <f>E53/E11</f>
        <v>2.8255155996210176E-3</v>
      </c>
      <c r="G54" s="198">
        <f>G53/G11</f>
        <v>2.5049453634608458E-3</v>
      </c>
      <c r="H54" s="198">
        <f>H53/H11</f>
        <v>2.8255155996210176E-3</v>
      </c>
    </row>
    <row r="56" spans="2:10">
      <c r="D56" s="200">
        <f>D51-D54</f>
        <v>1.1140570729898174E-2</v>
      </c>
      <c r="E56" s="200">
        <f>E51-E54</f>
        <v>8.4417148104508899E-3</v>
      </c>
      <c r="G56" s="200">
        <f>G51-G54</f>
        <v>1.1140570729898174E-2</v>
      </c>
      <c r="H56" s="200">
        <f>H51-H54</f>
        <v>8.4417148104508899E-3</v>
      </c>
    </row>
  </sheetData>
  <mergeCells count="3">
    <mergeCell ref="B1:E1"/>
    <mergeCell ref="B2:E2"/>
    <mergeCell ref="B4:E4"/>
  </mergeCells>
  <pageMargins left="0.7" right="0.7" top="0.75" bottom="0.75" header="0.3" footer="0.3"/>
  <pageSetup paperSize="9" scale="93"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346A-3192-4667-BD3A-10C49F555F39}">
  <sheetPr>
    <tabColor rgb="FF92D050"/>
  </sheetPr>
  <dimension ref="A1:K153"/>
  <sheetViews>
    <sheetView view="pageBreakPreview" zoomScale="90" zoomScaleNormal="100" zoomScaleSheetLayoutView="90" workbookViewId="0">
      <selection activeCell="I20" sqref="I20"/>
    </sheetView>
  </sheetViews>
  <sheetFormatPr defaultColWidth="11.5546875" defaultRowHeight="13.2"/>
  <cols>
    <col min="1" max="1" width="2.109375" style="64" customWidth="1"/>
    <col min="2" max="2" width="4.33203125" style="64" customWidth="1"/>
    <col min="3" max="3" width="42.6640625" style="64" customWidth="1"/>
    <col min="4" max="4" width="2.6640625" style="64" customWidth="1"/>
    <col min="5" max="5" width="19.88671875" style="64" customWidth="1"/>
    <col min="6" max="6" width="19.6640625" style="64" customWidth="1"/>
    <col min="7" max="7" width="15.44140625" style="64" bestFit="1" customWidth="1"/>
    <col min="8" max="9" width="17.109375" style="64" customWidth="1"/>
    <col min="10" max="10" width="15.88671875" style="64" customWidth="1"/>
    <col min="11" max="11" width="12.6640625" style="64" bestFit="1" customWidth="1"/>
    <col min="12" max="16384" width="11.5546875" style="64"/>
  </cols>
  <sheetData>
    <row r="1" spans="2:9">
      <c r="B1" s="67"/>
      <c r="C1" s="67" t="str">
        <f>'[1]BS Cap'!C1</f>
        <v>SINGLA STEEL CORPORATION</v>
      </c>
      <c r="D1" s="67"/>
      <c r="E1" s="67"/>
      <c r="F1" s="67"/>
      <c r="G1" s="67"/>
      <c r="H1" s="67"/>
      <c r="I1" s="67"/>
    </row>
    <row r="2" spans="2:9">
      <c r="C2" s="67" t="str">
        <f>'[1]BS Cap'!C2</f>
        <v>Notes to Financial Statements for the year ended 31.03.2025</v>
      </c>
      <c r="D2" s="67"/>
      <c r="E2" s="67"/>
      <c r="F2" s="67"/>
      <c r="G2" s="67"/>
    </row>
    <row r="3" spans="2:9">
      <c r="C3" s="67"/>
      <c r="D3" s="67"/>
      <c r="E3" s="67"/>
      <c r="F3" s="67"/>
      <c r="G3" s="67"/>
    </row>
    <row r="4" spans="2:9">
      <c r="B4" s="133">
        <f>BS!C10</f>
        <v>1</v>
      </c>
      <c r="C4" s="67" t="s">
        <v>166</v>
      </c>
      <c r="D4" s="67"/>
      <c r="E4" s="67"/>
      <c r="F4" s="69" t="str">
        <f>PL!E5</f>
        <v>(Amount in INR)</v>
      </c>
      <c r="G4" s="67"/>
    </row>
    <row r="5" spans="2:9" ht="30.6" customHeight="1">
      <c r="B5" s="201"/>
      <c r="C5" s="202" t="s">
        <v>97</v>
      </c>
      <c r="D5" s="203"/>
      <c r="E5" s="204" t="str">
        <f>BS!D6</f>
        <v>As at 31.03.2025</v>
      </c>
      <c r="F5" s="204" t="str">
        <f>BS!E6</f>
        <v>As at 31.03.2024</v>
      </c>
      <c r="G5" s="205"/>
      <c r="H5" s="204" t="str">
        <f>BS!G6</f>
        <v>As at 31.03.2025
Amount (Rs.)</v>
      </c>
      <c r="I5" s="204" t="str">
        <f>BS!H6</f>
        <v>As at 31.03.2024
Amount (Rs.)</v>
      </c>
    </row>
    <row r="6" spans="2:9">
      <c r="B6" s="206" t="s">
        <v>167</v>
      </c>
      <c r="C6" s="67" t="str">
        <f>CONCATENATE('My Contect'!D5)</f>
        <v>ASHWANI KUMAR SINGLA</v>
      </c>
      <c r="D6" s="67"/>
      <c r="E6" s="207"/>
      <c r="F6" s="207"/>
      <c r="G6" s="67"/>
      <c r="H6" s="207"/>
      <c r="I6" s="207"/>
    </row>
    <row r="7" spans="2:9">
      <c r="B7" s="206"/>
      <c r="C7" s="208" t="str">
        <f>CONCATENATE("Opening Balance as at ",'My Contect'!E13)</f>
        <v>Opening Balance as at 1st April, 2024</v>
      </c>
      <c r="D7" s="208"/>
      <c r="E7" s="98">
        <f>F13</f>
        <v>12874543.910000009</v>
      </c>
      <c r="F7" s="98">
        <f>I7/'My Contect'!$E$2</f>
        <v>13329095.840000056</v>
      </c>
      <c r="G7" s="208"/>
      <c r="H7" s="98">
        <f>I13</f>
        <v>12874543.910000009</v>
      </c>
      <c r="I7" s="98">
        <v>13329095.840000056</v>
      </c>
    </row>
    <row r="8" spans="2:9">
      <c r="B8" s="206"/>
      <c r="C8" s="208"/>
      <c r="D8" s="208"/>
      <c r="E8" s="98"/>
      <c r="F8" s="98"/>
      <c r="G8" s="208"/>
      <c r="H8" s="98"/>
      <c r="I8" s="98"/>
    </row>
    <row r="9" spans="2:9">
      <c r="B9" s="206"/>
      <c r="C9" s="208" t="s">
        <v>168</v>
      </c>
      <c r="D9" s="208"/>
      <c r="E9" s="98">
        <f>H9/'My Contect'!$E$2</f>
        <v>1302947.4299999904</v>
      </c>
      <c r="F9" s="98">
        <f>I9/'My Contect'!$E$2</f>
        <v>-1924505.1700000558</v>
      </c>
      <c r="G9" s="208"/>
      <c r="H9" s="98">
        <f>'Trial 2025'!H11-'BS Lia'!H7</f>
        <v>1302947.4299999904</v>
      </c>
      <c r="I9" s="98">
        <v>-1924505.1700000558</v>
      </c>
    </row>
    <row r="10" spans="2:9">
      <c r="B10" s="206"/>
      <c r="C10" s="208"/>
      <c r="D10" s="208"/>
      <c r="E10" s="98"/>
      <c r="F10" s="98"/>
      <c r="G10" s="208"/>
      <c r="H10" s="98"/>
      <c r="I10" s="98"/>
    </row>
    <row r="11" spans="2:9">
      <c r="B11" s="206"/>
      <c r="C11" s="208" t="s">
        <v>169</v>
      </c>
      <c r="D11" s="208"/>
      <c r="E11" s="98">
        <f>PL!D30</f>
        <v>834683.15999990702</v>
      </c>
      <c r="F11" s="98">
        <f>PL!E30</f>
        <v>1469953.2400000095</v>
      </c>
      <c r="G11" s="208"/>
      <c r="H11" s="98">
        <f>PL!G30</f>
        <v>834683.15999990702</v>
      </c>
      <c r="I11" s="98">
        <f>PL!H30</f>
        <v>1469953.2400000095</v>
      </c>
    </row>
    <row r="12" spans="2:9">
      <c r="B12" s="206"/>
      <c r="C12" s="208"/>
      <c r="D12" s="208"/>
      <c r="E12" s="98"/>
      <c r="F12" s="98"/>
      <c r="G12" s="208"/>
      <c r="H12" s="98"/>
      <c r="I12" s="98"/>
    </row>
    <row r="13" spans="2:9" ht="13.8" thickBot="1">
      <c r="B13" s="209"/>
      <c r="C13" s="210" t="str">
        <f>CONCATENATE("Closing Balance as at ",'My Contect'!E14)</f>
        <v>Closing Balance as at 31st March, 2025</v>
      </c>
      <c r="D13" s="211"/>
      <c r="E13" s="212">
        <f t="shared" ref="E13:F13" si="0">SUM(E7:E11)</f>
        <v>15012174.499999907</v>
      </c>
      <c r="F13" s="212">
        <f t="shared" si="0"/>
        <v>12874543.910000009</v>
      </c>
      <c r="G13" s="212">
        <f>SUM(G7:G11)</f>
        <v>0</v>
      </c>
      <c r="H13" s="212">
        <f>SUM(H7:H11)</f>
        <v>15012174.499999907</v>
      </c>
      <c r="I13" s="212">
        <f>SUM(I7:I11)</f>
        <v>12874543.910000009</v>
      </c>
    </row>
    <row r="14" spans="2:9" ht="13.8" thickTop="1">
      <c r="C14" s="67"/>
      <c r="D14" s="67"/>
      <c r="E14" s="67"/>
      <c r="F14" s="67"/>
      <c r="G14" s="67"/>
    </row>
    <row r="15" spans="2:9" hidden="1">
      <c r="C15" s="67"/>
      <c r="D15" s="67"/>
      <c r="E15" s="67"/>
      <c r="F15" s="67"/>
      <c r="G15" s="67"/>
    </row>
    <row r="16" spans="2:9" hidden="1">
      <c r="B16" s="133">
        <f>BS!C11</f>
        <v>1</v>
      </c>
      <c r="C16" s="67" t="s">
        <v>170</v>
      </c>
      <c r="D16" s="67"/>
      <c r="E16" s="67"/>
      <c r="F16" s="69" t="str">
        <f>'[1]BS Cap'!H4</f>
        <v>(Amount in INR)</v>
      </c>
      <c r="G16" s="67"/>
    </row>
    <row r="17" spans="1:11" ht="38.25" hidden="1" customHeight="1">
      <c r="B17" s="201"/>
      <c r="C17" s="202" t="s">
        <v>97</v>
      </c>
      <c r="D17" s="203"/>
      <c r="E17" s="204" t="str">
        <f>BS!D6</f>
        <v>As at 31.03.2025</v>
      </c>
      <c r="F17" s="204" t="str">
        <f>BS!E6</f>
        <v>As at 31.03.2024</v>
      </c>
      <c r="G17" s="205"/>
      <c r="H17" s="204" t="str">
        <f>'[1]BS Cap'!L5</f>
        <v>As at 31.03.2025
Amount (Rs.)</v>
      </c>
      <c r="I17" s="204" t="str">
        <f>'[1]BS Cap'!M5</f>
        <v>As at 31.03.2024
Amount (Rs.)</v>
      </c>
    </row>
    <row r="18" spans="1:11" hidden="1">
      <c r="B18" s="206" t="s">
        <v>167</v>
      </c>
      <c r="C18" s="67" t="s">
        <v>171</v>
      </c>
      <c r="D18" s="67"/>
      <c r="E18" s="207"/>
      <c r="F18" s="207"/>
      <c r="G18" s="67"/>
      <c r="H18" s="207"/>
      <c r="I18" s="207"/>
    </row>
    <row r="19" spans="1:11" hidden="1">
      <c r="B19" s="206"/>
      <c r="C19" s="208" t="s">
        <v>172</v>
      </c>
      <c r="D19" s="208"/>
      <c r="E19" s="98">
        <f>F22</f>
        <v>0</v>
      </c>
      <c r="F19" s="98">
        <f>I19/'My Contect'!$E$2</f>
        <v>0</v>
      </c>
      <c r="G19" s="208"/>
      <c r="H19" s="98">
        <f>I22</f>
        <v>0</v>
      </c>
      <c r="I19" s="98">
        <v>0</v>
      </c>
      <c r="K19" s="213"/>
    </row>
    <row r="20" spans="1:11" hidden="1">
      <c r="B20" s="206"/>
      <c r="C20" s="208" t="s">
        <v>173</v>
      </c>
      <c r="D20" s="208"/>
      <c r="E20" s="98"/>
      <c r="F20" s="98"/>
      <c r="G20" s="208"/>
      <c r="H20" s="98"/>
      <c r="I20" s="98"/>
    </row>
    <row r="21" spans="1:11" hidden="1">
      <c r="A21" s="64" t="s">
        <v>174</v>
      </c>
      <c r="B21" s="90"/>
      <c r="D21" s="214"/>
      <c r="E21" s="113"/>
      <c r="F21" s="113"/>
      <c r="G21" s="215"/>
      <c r="H21" s="113"/>
      <c r="I21" s="113"/>
    </row>
    <row r="22" spans="1:11" ht="13.8" hidden="1" thickBot="1">
      <c r="B22" s="209"/>
      <c r="C22" s="210" t="s">
        <v>175</v>
      </c>
      <c r="D22" s="211"/>
      <c r="E22" s="212">
        <f>SUM(E19:E21)</f>
        <v>0</v>
      </c>
      <c r="F22" s="212">
        <f>SUM(F19:F21)</f>
        <v>0</v>
      </c>
      <c r="G22" s="216"/>
      <c r="H22" s="212">
        <f>SUM(H19:H21)</f>
        <v>0</v>
      </c>
      <c r="I22" s="212">
        <f>SUM(I19:I21)</f>
        <v>0</v>
      </c>
    </row>
    <row r="23" spans="1:11" hidden="1">
      <c r="C23" s="67"/>
      <c r="D23" s="67"/>
      <c r="E23" s="67"/>
      <c r="F23" s="67"/>
      <c r="G23" s="67"/>
      <c r="H23" s="133"/>
      <c r="I23" s="133"/>
    </row>
    <row r="24" spans="1:11">
      <c r="C24" s="67"/>
      <c r="D24" s="67"/>
      <c r="E24" s="67"/>
      <c r="F24" s="67"/>
      <c r="G24" s="67"/>
      <c r="H24" s="133"/>
      <c r="I24" s="133"/>
    </row>
    <row r="25" spans="1:11">
      <c r="B25" s="133">
        <f>BS!C16</f>
        <v>2</v>
      </c>
      <c r="C25" s="67" t="s">
        <v>176</v>
      </c>
      <c r="D25" s="67"/>
      <c r="E25" s="67"/>
      <c r="F25" s="69" t="str">
        <f>F16</f>
        <v>(Amount in INR)</v>
      </c>
      <c r="G25" s="67"/>
      <c r="H25" s="217"/>
      <c r="I25" s="217"/>
    </row>
    <row r="26" spans="1:11" ht="38.25" customHeight="1">
      <c r="B26" s="218"/>
      <c r="C26" s="219" t="s">
        <v>97</v>
      </c>
      <c r="D26" s="219"/>
      <c r="E26" s="220" t="str">
        <f>E17</f>
        <v>As at 31.03.2025</v>
      </c>
      <c r="F26" s="220" t="str">
        <f>F17</f>
        <v>As at 31.03.2024</v>
      </c>
      <c r="G26" s="221"/>
      <c r="H26" s="220" t="str">
        <f>H17</f>
        <v>As at 31.03.2025
Amount (Rs.)</v>
      </c>
      <c r="I26" s="220" t="str">
        <f>I17</f>
        <v>As at 31.03.2024
Amount (Rs.)</v>
      </c>
    </row>
    <row r="27" spans="1:11" hidden="1">
      <c r="B27" s="90"/>
      <c r="C27" s="222" t="s">
        <v>177</v>
      </c>
      <c r="D27" s="67"/>
      <c r="E27" s="223"/>
      <c r="F27" s="86"/>
      <c r="G27" s="224"/>
      <c r="H27" s="223"/>
      <c r="I27" s="86"/>
    </row>
    <row r="28" spans="1:11" hidden="1">
      <c r="B28" s="90"/>
      <c r="C28" s="225" t="s">
        <v>178</v>
      </c>
      <c r="D28" s="225"/>
      <c r="E28" s="223"/>
      <c r="F28" s="86"/>
      <c r="G28" s="224"/>
      <c r="H28" s="223"/>
      <c r="I28" s="86"/>
    </row>
    <row r="29" spans="1:11" hidden="1">
      <c r="B29" s="90"/>
      <c r="C29" s="225" t="s">
        <v>179</v>
      </c>
      <c r="D29" s="225"/>
      <c r="E29" s="223"/>
      <c r="F29" s="86"/>
      <c r="G29" s="224"/>
      <c r="H29" s="226"/>
      <c r="I29" s="227"/>
    </row>
    <row r="30" spans="1:11" hidden="1">
      <c r="B30" s="90" t="s">
        <v>167</v>
      </c>
      <c r="C30" s="224" t="s">
        <v>180</v>
      </c>
      <c r="D30" s="224"/>
      <c r="E30" s="226">
        <f>H30/'My Contect'!$E$2</f>
        <v>0</v>
      </c>
      <c r="F30" s="227">
        <f>I30/'My Contect'!$E$2</f>
        <v>0</v>
      </c>
      <c r="G30" s="224"/>
      <c r="H30" s="226"/>
      <c r="I30" s="227">
        <v>0</v>
      </c>
    </row>
    <row r="31" spans="1:11" ht="38.25" hidden="1" customHeight="1">
      <c r="B31" s="90"/>
      <c r="C31" s="228" t="s">
        <v>181</v>
      </c>
      <c r="D31" s="228"/>
      <c r="E31" s="226"/>
      <c r="F31" s="227"/>
      <c r="G31" s="224"/>
      <c r="H31" s="226"/>
      <c r="I31" s="227"/>
    </row>
    <row r="32" spans="1:11" hidden="1">
      <c r="B32" s="90"/>
      <c r="C32" s="224"/>
      <c r="D32" s="224"/>
      <c r="E32" s="223"/>
      <c r="F32" s="86"/>
      <c r="G32" s="224"/>
      <c r="H32" s="226"/>
      <c r="I32" s="227"/>
    </row>
    <row r="33" spans="2:9">
      <c r="B33" s="229"/>
      <c r="C33" s="67" t="s">
        <v>182</v>
      </c>
      <c r="D33" s="67"/>
      <c r="E33" s="223"/>
      <c r="F33" s="86"/>
      <c r="G33" s="67"/>
      <c r="H33" s="226"/>
      <c r="I33" s="227"/>
    </row>
    <row r="34" spans="2:9">
      <c r="B34" s="206" t="s">
        <v>167</v>
      </c>
      <c r="C34" s="64" t="s">
        <v>183</v>
      </c>
      <c r="E34" s="98">
        <f>H34/'My Contect'!$E$2</f>
        <v>19187969</v>
      </c>
      <c r="F34" s="98">
        <f>I34/'My Contect'!$E$2</f>
        <v>38624774</v>
      </c>
      <c r="H34" s="226">
        <f>Sheet4!C23</f>
        <v>19187969</v>
      </c>
      <c r="I34" s="227">
        <f>Sheet4!D23</f>
        <v>38624774</v>
      </c>
    </row>
    <row r="35" spans="2:9" hidden="1">
      <c r="B35" s="230"/>
      <c r="C35" s="231" t="s">
        <v>184</v>
      </c>
      <c r="D35" s="232"/>
      <c r="E35" s="98">
        <f>H35/'My Contect'!$E$2</f>
        <v>0</v>
      </c>
      <c r="F35" s="98">
        <f>I35/'My Contect'!$E$2</f>
        <v>0</v>
      </c>
      <c r="G35" s="232"/>
      <c r="H35" s="98"/>
      <c r="I35" s="98"/>
    </row>
    <row r="36" spans="2:9">
      <c r="B36" s="233"/>
      <c r="C36" s="234"/>
      <c r="D36" s="235"/>
      <c r="E36" s="236"/>
      <c r="F36" s="113"/>
      <c r="G36" s="235"/>
      <c r="H36" s="113"/>
      <c r="I36" s="237"/>
    </row>
    <row r="37" spans="2:9" ht="13.8" thickBot="1">
      <c r="B37" s="238"/>
      <c r="C37" s="239" t="s">
        <v>185</v>
      </c>
      <c r="D37" s="239"/>
      <c r="E37" s="212">
        <f>SUM(E30:E36)</f>
        <v>19187969</v>
      </c>
      <c r="F37" s="212">
        <f>SUM(F30:F36)</f>
        <v>38624774</v>
      </c>
      <c r="G37" s="240"/>
      <c r="H37" s="212">
        <f>SUM(H30:H36)</f>
        <v>19187969</v>
      </c>
      <c r="I37" s="212">
        <f>SUM(I30:I36)</f>
        <v>38624774</v>
      </c>
    </row>
    <row r="38" spans="2:9" ht="13.8" thickTop="1">
      <c r="C38" s="241"/>
      <c r="D38" s="241"/>
      <c r="E38" s="241"/>
      <c r="F38" s="241"/>
      <c r="G38" s="241"/>
      <c r="H38" s="242"/>
      <c r="I38" s="242"/>
    </row>
    <row r="39" spans="2:9" hidden="1">
      <c r="C39" s="67"/>
      <c r="D39" s="67"/>
      <c r="E39" s="67"/>
      <c r="F39" s="67"/>
      <c r="G39" s="67"/>
      <c r="H39" s="133"/>
      <c r="I39" s="133"/>
    </row>
    <row r="40" spans="2:9" hidden="1">
      <c r="C40" s="67"/>
      <c r="D40" s="67"/>
      <c r="E40" s="67"/>
      <c r="F40" s="67"/>
      <c r="G40" s="67"/>
      <c r="H40" s="133"/>
      <c r="I40" s="133"/>
    </row>
    <row r="41" spans="2:9" hidden="1">
      <c r="C41" s="144" t="str">
        <f>'[1]BS Cap (2)'!C23</f>
        <v>(CA. KESHAV GUPTA)</v>
      </c>
      <c r="D41" s="144"/>
      <c r="E41" s="144" t="str">
        <f>BS!C57</f>
        <v>ASHWANI KUMAR SINGLA</v>
      </c>
      <c r="F41" s="144"/>
      <c r="G41" s="67"/>
      <c r="H41" s="133"/>
      <c r="I41" s="133"/>
    </row>
    <row r="42" spans="2:9" hidden="1">
      <c r="C42" s="144" t="str">
        <f>'[1]BS Cap'!C53</f>
        <v>AUDITOR</v>
      </c>
      <c r="D42" s="144"/>
      <c r="E42" s="144" t="str">
        <f>BS!C58</f>
        <v>PROPRIETOR</v>
      </c>
      <c r="F42" s="144"/>
      <c r="G42" s="67"/>
      <c r="H42" s="133"/>
      <c r="I42" s="133"/>
    </row>
    <row r="43" spans="2:9" hidden="1">
      <c r="E43" s="144"/>
      <c r="F43" s="144"/>
      <c r="G43" s="67"/>
      <c r="H43" s="133"/>
      <c r="I43" s="133"/>
    </row>
    <row r="44" spans="2:9" hidden="1">
      <c r="C44" s="67" t="str">
        <f>C1</f>
        <v>SINGLA STEEL CORPORATION</v>
      </c>
      <c r="D44" s="67"/>
      <c r="E44" s="67"/>
      <c r="F44" s="67"/>
      <c r="G44" s="67"/>
      <c r="H44" s="133"/>
      <c r="I44" s="133"/>
    </row>
    <row r="45" spans="2:9" hidden="1">
      <c r="C45" s="67" t="str">
        <f>C2</f>
        <v>Notes to Financial Statements for the year ended 31.03.2025</v>
      </c>
      <c r="D45" s="67"/>
      <c r="E45" s="67"/>
      <c r="F45" s="67"/>
      <c r="G45" s="67"/>
      <c r="H45" s="133"/>
      <c r="I45" s="133"/>
    </row>
    <row r="46" spans="2:9">
      <c r="C46" s="67"/>
      <c r="D46" s="67"/>
      <c r="E46" s="67"/>
      <c r="F46" s="67"/>
      <c r="G46" s="67"/>
      <c r="H46" s="133"/>
      <c r="I46" s="133"/>
    </row>
    <row r="47" spans="2:9">
      <c r="B47" s="133">
        <f>BS!C22</f>
        <v>3</v>
      </c>
      <c r="C47" s="67" t="s">
        <v>186</v>
      </c>
      <c r="D47" s="67"/>
      <c r="E47" s="67"/>
      <c r="F47" s="69" t="str">
        <f>F25</f>
        <v>(Amount in INR)</v>
      </c>
      <c r="G47" s="67"/>
    </row>
    <row r="48" spans="2:9" ht="38.25" customHeight="1">
      <c r="B48" s="201"/>
      <c r="C48" s="202" t="s">
        <v>97</v>
      </c>
      <c r="D48" s="243"/>
      <c r="E48" s="204" t="str">
        <f>E26</f>
        <v>As at 31.03.2025</v>
      </c>
      <c r="F48" s="244" t="str">
        <f>F26</f>
        <v>As at 31.03.2024</v>
      </c>
      <c r="G48" s="221"/>
      <c r="H48" s="204" t="str">
        <f>H26</f>
        <v>As at 31.03.2025
Amount (Rs.)</v>
      </c>
      <c r="I48" s="244" t="str">
        <f>I26</f>
        <v>As at 31.03.2024
Amount (Rs.)</v>
      </c>
    </row>
    <row r="49" spans="2:9">
      <c r="B49" s="245">
        <v>1</v>
      </c>
      <c r="C49" s="246" t="s">
        <v>177</v>
      </c>
      <c r="D49" s="247"/>
      <c r="E49" s="248"/>
      <c r="F49" s="248"/>
      <c r="G49" s="249"/>
      <c r="H49" s="248"/>
      <c r="I49" s="248"/>
    </row>
    <row r="50" spans="2:9">
      <c r="B50" s="206" t="s">
        <v>167</v>
      </c>
      <c r="C50" s="250" t="s">
        <v>187</v>
      </c>
      <c r="D50" s="251"/>
      <c r="E50" s="207"/>
      <c r="F50" s="207"/>
      <c r="G50" s="251"/>
      <c r="H50" s="207"/>
      <c r="I50" s="207"/>
    </row>
    <row r="51" spans="2:9">
      <c r="B51" s="90"/>
      <c r="C51" s="252" t="s">
        <v>188</v>
      </c>
      <c r="D51" s="253"/>
      <c r="E51" s="98">
        <f>H51/'My Contect'!$E$2</f>
        <v>9407705.9900000002</v>
      </c>
      <c r="F51" s="98">
        <f>I51/'My Contect'!$E$2</f>
        <v>7180440.6399999997</v>
      </c>
      <c r="G51" s="253"/>
      <c r="H51" s="227">
        <f>Sheet4!C11</f>
        <v>9407705.9900000002</v>
      </c>
      <c r="I51" s="227">
        <f>Sheet4!D11</f>
        <v>7180440.6399999997</v>
      </c>
    </row>
    <row r="52" spans="2:9" ht="39.6" hidden="1">
      <c r="B52" s="90"/>
      <c r="C52" s="231" t="s">
        <v>189</v>
      </c>
      <c r="D52" s="232"/>
      <c r="E52" s="98"/>
      <c r="F52" s="98"/>
      <c r="G52" s="232"/>
      <c r="H52" s="227"/>
      <c r="I52" s="227"/>
    </row>
    <row r="53" spans="2:9" hidden="1">
      <c r="B53" s="90"/>
      <c r="C53" s="224"/>
      <c r="D53" s="232"/>
      <c r="E53" s="98"/>
      <c r="F53" s="98"/>
      <c r="G53" s="232"/>
      <c r="H53" s="227"/>
      <c r="I53" s="227"/>
    </row>
    <row r="54" spans="2:9" hidden="1">
      <c r="B54" s="206" t="s">
        <v>190</v>
      </c>
      <c r="C54" s="224" t="s">
        <v>191</v>
      </c>
      <c r="D54" s="232"/>
      <c r="E54" s="98">
        <f>H54/'My Contect'!$E$2</f>
        <v>0</v>
      </c>
      <c r="F54" s="98">
        <f>I54/'My Contect'!$E$2</f>
        <v>0</v>
      </c>
      <c r="G54" s="232"/>
      <c r="H54" s="227"/>
      <c r="I54" s="227"/>
    </row>
    <row r="55" spans="2:9" hidden="1">
      <c r="B55" s="90"/>
      <c r="C55" s="224"/>
      <c r="D55" s="232"/>
      <c r="E55" s="98"/>
      <c r="F55" s="98"/>
      <c r="G55" s="232"/>
      <c r="H55" s="227"/>
      <c r="I55" s="227"/>
    </row>
    <row r="56" spans="2:9" hidden="1">
      <c r="B56" s="229">
        <v>2</v>
      </c>
      <c r="C56" s="67" t="s">
        <v>182</v>
      </c>
      <c r="D56" s="216"/>
      <c r="E56" s="98"/>
      <c r="F56" s="98"/>
      <c r="G56" s="216"/>
      <c r="H56" s="98"/>
      <c r="I56" s="98"/>
    </row>
    <row r="57" spans="2:9" hidden="1">
      <c r="B57" s="229"/>
      <c r="C57" s="64" t="s">
        <v>192</v>
      </c>
      <c r="D57" s="215"/>
      <c r="E57" s="98"/>
      <c r="F57" s="98"/>
      <c r="G57" s="215"/>
      <c r="H57" s="98"/>
      <c r="I57" s="98"/>
    </row>
    <row r="58" spans="2:9" hidden="1">
      <c r="B58" s="206"/>
      <c r="C58" s="254" t="s">
        <v>193</v>
      </c>
      <c r="D58" s="255"/>
      <c r="E58" s="98"/>
      <c r="F58" s="98"/>
      <c r="G58" s="255"/>
      <c r="H58" s="227"/>
      <c r="I58" s="98"/>
    </row>
    <row r="59" spans="2:9" ht="26.4" hidden="1">
      <c r="B59" s="256"/>
      <c r="C59" s="257" t="s">
        <v>194</v>
      </c>
      <c r="D59" s="258"/>
      <c r="E59" s="98">
        <f>H59/'My Contect'!$E$2</f>
        <v>0</v>
      </c>
      <c r="F59" s="98">
        <f>I59/'My Contect'!$E$2</f>
        <v>0</v>
      </c>
      <c r="G59" s="258"/>
      <c r="H59" s="227"/>
      <c r="I59" s="227"/>
    </row>
    <row r="60" spans="2:9">
      <c r="B60" s="259"/>
      <c r="C60" s="260"/>
      <c r="D60" s="214"/>
      <c r="E60" s="113"/>
      <c r="F60" s="113"/>
      <c r="G60" s="215"/>
      <c r="H60" s="261"/>
      <c r="I60" s="261"/>
    </row>
    <row r="61" spans="2:9" ht="13.8" thickBot="1">
      <c r="B61" s="262"/>
      <c r="C61" s="210" t="s">
        <v>185</v>
      </c>
      <c r="D61" s="211"/>
      <c r="E61" s="263">
        <f>SUM(E51:E59)</f>
        <v>9407705.9900000002</v>
      </c>
      <c r="F61" s="264">
        <f>SUM(F51:F59)</f>
        <v>7180440.6399999997</v>
      </c>
      <c r="G61" s="67"/>
      <c r="H61" s="265">
        <f>SUM(H51:H59)</f>
        <v>9407705.9900000002</v>
      </c>
      <c r="I61" s="265">
        <f>SUM(I51:I59)</f>
        <v>7180440.6399999997</v>
      </c>
    </row>
    <row r="62" spans="2:9" ht="13.8" thickTop="1"/>
    <row r="63" spans="2:9" hidden="1"/>
    <row r="64" spans="2:9" hidden="1"/>
    <row r="65" spans="2:9" hidden="1"/>
    <row r="66" spans="2:9" hidden="1"/>
    <row r="67" spans="2:9" hidden="1"/>
    <row r="68" spans="2:9" hidden="1">
      <c r="G68" s="144"/>
      <c r="H68" s="266" t="str">
        <f>E41</f>
        <v>ASHWANI KUMAR SINGLA</v>
      </c>
      <c r="I68" s="82"/>
    </row>
    <row r="69" spans="2:9" hidden="1">
      <c r="G69" s="144"/>
      <c r="H69" s="266" t="str">
        <f>E42</f>
        <v>PROPRIETOR</v>
      </c>
      <c r="I69" s="82"/>
    </row>
    <row r="70" spans="2:9" hidden="1">
      <c r="H70" s="266">
        <f>E43</f>
        <v>0</v>
      </c>
      <c r="I70" s="68"/>
    </row>
    <row r="71" spans="2:9" hidden="1">
      <c r="B71" s="67"/>
      <c r="C71" s="67" t="str">
        <f>C1</f>
        <v>SINGLA STEEL CORPORATION</v>
      </c>
      <c r="D71" s="67"/>
      <c r="E71" s="67"/>
      <c r="F71" s="67"/>
      <c r="G71" s="67"/>
      <c r="H71" s="67"/>
      <c r="I71" s="67"/>
    </row>
    <row r="72" spans="2:9" hidden="1">
      <c r="C72" s="67" t="str">
        <f>C2</f>
        <v>Notes to Financial Statements for the year ended 31.03.2025</v>
      </c>
      <c r="D72" s="67"/>
      <c r="E72" s="67"/>
      <c r="F72" s="67"/>
      <c r="G72" s="67"/>
      <c r="H72" s="267"/>
      <c r="I72" s="267"/>
    </row>
    <row r="73" spans="2:9" hidden="1"/>
    <row r="74" spans="2:9" hidden="1"/>
    <row r="75" spans="2:9" hidden="1"/>
    <row r="76" spans="2:9" hidden="1"/>
    <row r="77" spans="2:9" hidden="1"/>
    <row r="79" spans="2:9">
      <c r="B79" s="133">
        <f>+BS!C23</f>
        <v>4</v>
      </c>
      <c r="C79" s="67" t="s">
        <v>195</v>
      </c>
      <c r="D79" s="67"/>
      <c r="E79" s="67"/>
      <c r="F79" s="69" t="str">
        <f>F47</f>
        <v>(Amount in INR)</v>
      </c>
      <c r="G79" s="67"/>
    </row>
    <row r="80" spans="2:9" ht="38.25" customHeight="1">
      <c r="B80" s="201"/>
      <c r="C80" s="202" t="s">
        <v>97</v>
      </c>
      <c r="D80" s="202"/>
      <c r="E80" s="268" t="str">
        <f>E48</f>
        <v>As at 31.03.2025</v>
      </c>
      <c r="F80" s="269" t="str">
        <f>F48</f>
        <v>As at 31.03.2024</v>
      </c>
      <c r="G80" s="270"/>
      <c r="H80" s="268" t="str">
        <f>H48</f>
        <v>As at 31.03.2025
Amount (Rs.)</v>
      </c>
      <c r="I80" s="269" t="str">
        <f>I48</f>
        <v>As at 31.03.2024
Amount (Rs.)</v>
      </c>
    </row>
    <row r="81" spans="2:9">
      <c r="B81" s="271"/>
      <c r="C81" s="272" t="s">
        <v>196</v>
      </c>
      <c r="D81" s="273"/>
      <c r="E81" s="274"/>
      <c r="F81" s="274"/>
      <c r="G81" s="208"/>
      <c r="H81" s="274"/>
      <c r="I81" s="274"/>
    </row>
    <row r="82" spans="2:9" ht="26.4">
      <c r="B82" s="230" t="s">
        <v>167</v>
      </c>
      <c r="C82" s="275" t="s">
        <v>197</v>
      </c>
      <c r="D82" s="276"/>
      <c r="E82" s="98">
        <f>H82/'My Contect'!$E$2</f>
        <v>0</v>
      </c>
      <c r="F82" s="98">
        <f>I82/'My Contect'!$E$2</f>
        <v>0</v>
      </c>
      <c r="G82" s="275"/>
      <c r="H82" s="227">
        <f>Sheet4!C28</f>
        <v>0</v>
      </c>
      <c r="I82" s="227">
        <v>0</v>
      </c>
    </row>
    <row r="83" spans="2:9" ht="26.4">
      <c r="B83" s="230" t="s">
        <v>190</v>
      </c>
      <c r="C83" s="275" t="s">
        <v>198</v>
      </c>
      <c r="D83" s="276"/>
      <c r="E83" s="98">
        <f>H83/'My Contect'!$E$2</f>
        <v>15846215.640000001</v>
      </c>
      <c r="F83" s="98">
        <f>I83/'My Contect'!$E$2</f>
        <v>18488569.640000001</v>
      </c>
      <c r="G83" s="275"/>
      <c r="H83" s="227">
        <f>Sheet4!C45</f>
        <v>15846215.640000001</v>
      </c>
      <c r="I83" s="227">
        <f>Sheet4!D45</f>
        <v>18488569.640000001</v>
      </c>
    </row>
    <row r="84" spans="2:9">
      <c r="B84" s="277"/>
      <c r="C84" s="260"/>
      <c r="E84" s="278"/>
      <c r="F84" s="279"/>
      <c r="H84" s="280"/>
      <c r="I84" s="281"/>
    </row>
    <row r="85" spans="2:9" ht="13.8" thickBot="1">
      <c r="B85" s="209"/>
      <c r="C85" s="210" t="s">
        <v>185</v>
      </c>
      <c r="D85" s="211"/>
      <c r="E85" s="282">
        <f>SUM(E81:E83)</f>
        <v>15846215.640000001</v>
      </c>
      <c r="F85" s="283">
        <f>SUM(F81:F83)</f>
        <v>18488569.640000001</v>
      </c>
      <c r="G85" s="67"/>
      <c r="H85" s="284">
        <f>SUM(H81:H83)</f>
        <v>15846215.640000001</v>
      </c>
      <c r="I85" s="285">
        <f>SUM(I81:I83)</f>
        <v>18488569.640000001</v>
      </c>
    </row>
    <row r="86" spans="2:9" ht="13.8" thickTop="1">
      <c r="B86" s="64" t="s">
        <v>199</v>
      </c>
      <c r="C86" s="286"/>
      <c r="D86" s="286"/>
      <c r="E86" s="286"/>
      <c r="F86" s="286"/>
      <c r="G86" s="286"/>
      <c r="H86" s="224"/>
      <c r="I86" s="224"/>
    </row>
    <row r="87" spans="2:9">
      <c r="C87" s="286"/>
      <c r="D87" s="286"/>
      <c r="E87" s="286"/>
      <c r="F87" s="286"/>
      <c r="G87" s="286"/>
      <c r="H87" s="224"/>
      <c r="I87" s="224"/>
    </row>
    <row r="88" spans="2:9">
      <c r="C88" s="286"/>
      <c r="D88" s="286"/>
      <c r="E88" s="286"/>
      <c r="F88" s="286"/>
      <c r="G88" s="286"/>
      <c r="H88" s="224"/>
      <c r="I88" s="224"/>
    </row>
    <row r="89" spans="2:9">
      <c r="C89" s="286"/>
      <c r="D89" s="286"/>
      <c r="E89" s="286"/>
      <c r="F89" s="286"/>
      <c r="G89" s="286"/>
      <c r="H89" s="224"/>
      <c r="I89" s="224"/>
    </row>
    <row r="90" spans="2:9">
      <c r="C90" s="286"/>
      <c r="D90" s="286"/>
      <c r="E90" s="286"/>
      <c r="F90" s="286"/>
      <c r="G90" s="286"/>
      <c r="H90" s="224"/>
      <c r="I90" s="224"/>
    </row>
    <row r="91" spans="2:9">
      <c r="C91" s="286"/>
      <c r="D91" s="286"/>
      <c r="E91" s="286"/>
      <c r="F91" s="286"/>
      <c r="G91" s="286"/>
      <c r="H91" s="224"/>
      <c r="I91" s="224"/>
    </row>
    <row r="92" spans="2:9">
      <c r="C92" s="144" t="str">
        <f>C41</f>
        <v>(CA. KESHAV GUPTA)</v>
      </c>
      <c r="D92" s="144"/>
      <c r="E92" s="144" t="str">
        <f>'[1]BS Cap'!E52</f>
        <v>ASHWANI KUMAR SINGLA</v>
      </c>
      <c r="F92" s="144"/>
      <c r="G92" s="144"/>
      <c r="H92" s="266"/>
      <c r="I92" s="287"/>
    </row>
    <row r="93" spans="2:9">
      <c r="C93" s="144" t="str">
        <f>C42</f>
        <v>AUDITOR</v>
      </c>
      <c r="D93" s="144"/>
      <c r="E93" s="144" t="str">
        <f>'[1]BS Cap'!E53</f>
        <v>PROPRIETOR</v>
      </c>
      <c r="F93" s="144"/>
      <c r="G93" s="144"/>
      <c r="H93" s="266"/>
      <c r="I93" s="287"/>
    </row>
    <row r="94" spans="2:9">
      <c r="C94" s="144"/>
      <c r="D94" s="144"/>
      <c r="E94" s="144"/>
      <c r="F94" s="144"/>
      <c r="G94" s="144"/>
      <c r="H94" s="266"/>
      <c r="I94" s="287"/>
    </row>
    <row r="95" spans="2:9">
      <c r="C95" s="67" t="str">
        <f>C71</f>
        <v>SINGLA STEEL CORPORATION</v>
      </c>
      <c r="D95" s="67"/>
      <c r="E95" s="67"/>
      <c r="F95" s="67"/>
      <c r="G95" s="67"/>
      <c r="H95" s="267"/>
      <c r="I95" s="267"/>
    </row>
    <row r="96" spans="2:9">
      <c r="C96" s="67" t="str">
        <f>C72</f>
        <v>Notes to Financial Statements for the year ended 31.03.2025</v>
      </c>
      <c r="D96" s="67"/>
      <c r="E96" s="67"/>
      <c r="F96" s="67"/>
      <c r="G96" s="67"/>
      <c r="H96" s="267"/>
      <c r="I96" s="267"/>
    </row>
    <row r="97" spans="2:9">
      <c r="H97" s="267"/>
      <c r="I97" s="267"/>
    </row>
    <row r="98" spans="2:9">
      <c r="B98" s="133">
        <f>+BS!C24</f>
        <v>5</v>
      </c>
      <c r="C98" s="67" t="s">
        <v>200</v>
      </c>
      <c r="D98" s="67"/>
      <c r="E98" s="67"/>
      <c r="F98" s="69" t="str">
        <f>F79</f>
        <v>(Amount in INR)</v>
      </c>
      <c r="G98" s="67"/>
      <c r="H98" s="267"/>
      <c r="I98" s="267"/>
    </row>
    <row r="99" spans="2:9" ht="38.25" customHeight="1">
      <c r="B99" s="201"/>
      <c r="C99" s="202" t="s">
        <v>97</v>
      </c>
      <c r="D99" s="202"/>
      <c r="E99" s="288" t="str">
        <f>E80</f>
        <v>As at 31.03.2025</v>
      </c>
      <c r="F99" s="289" t="str">
        <f>F80</f>
        <v>As at 31.03.2024</v>
      </c>
      <c r="G99" s="221"/>
      <c r="H99" s="288" t="str">
        <f>H80</f>
        <v>As at 31.03.2025
Amount (Rs.)</v>
      </c>
      <c r="I99" s="289" t="str">
        <f>I80</f>
        <v>As at 31.03.2024
Amount (Rs.)</v>
      </c>
    </row>
    <row r="100" spans="2:9">
      <c r="B100" s="206" t="s">
        <v>201</v>
      </c>
      <c r="C100" s="208" t="s">
        <v>202</v>
      </c>
      <c r="D100" s="290"/>
      <c r="E100" s="98"/>
      <c r="F100" s="98"/>
      <c r="G100" s="290"/>
      <c r="H100" s="207"/>
      <c r="I100" s="274"/>
    </row>
    <row r="101" spans="2:9">
      <c r="B101" s="291" t="s">
        <v>203</v>
      </c>
      <c r="C101" s="208" t="s">
        <v>204</v>
      </c>
      <c r="D101" s="290"/>
      <c r="E101" s="98">
        <f>H101/'My Contect'!$E$2</f>
        <v>196315.84000000003</v>
      </c>
      <c r="F101" s="98">
        <f>I101/'My Contect'!$E$2</f>
        <v>361074</v>
      </c>
      <c r="G101" s="290"/>
      <c r="H101" s="227">
        <f>Sheet4!C55</f>
        <v>196315.84000000003</v>
      </c>
      <c r="I101" s="98">
        <f>Sheet4!D55</f>
        <v>361074</v>
      </c>
    </row>
    <row r="102" spans="2:9">
      <c r="B102" s="291" t="s">
        <v>203</v>
      </c>
      <c r="C102" s="292" t="s">
        <v>205</v>
      </c>
      <c r="D102" s="293"/>
      <c r="E102" s="98">
        <f>H102/'My Contect'!$E$2</f>
        <v>67405</v>
      </c>
      <c r="F102" s="98">
        <f>I102/'My Contect'!$E$2</f>
        <v>0</v>
      </c>
      <c r="G102" s="293"/>
      <c r="H102" s="227">
        <f>Sheet4!C61</f>
        <v>67405</v>
      </c>
      <c r="I102" s="227">
        <f>Sheet4!D61</f>
        <v>0</v>
      </c>
    </row>
    <row r="103" spans="2:9">
      <c r="B103" s="291" t="s">
        <v>206</v>
      </c>
      <c r="C103" s="64" t="s">
        <v>207</v>
      </c>
      <c r="D103" s="215"/>
      <c r="E103" s="98">
        <f>H103/'My Contect'!$E$2</f>
        <v>15000</v>
      </c>
      <c r="F103" s="98">
        <f>I103/'My Contect'!$E$2</f>
        <v>15000</v>
      </c>
      <c r="G103" s="215"/>
      <c r="H103" s="173">
        <f>'Trial 2025'!H59</f>
        <v>15000</v>
      </c>
      <c r="I103" s="98">
        <f>'Trial 2025'!J59</f>
        <v>15000</v>
      </c>
    </row>
    <row r="104" spans="2:9">
      <c r="B104" s="291" t="s">
        <v>208</v>
      </c>
      <c r="C104" s="64" t="s">
        <v>209</v>
      </c>
      <c r="D104" s="215"/>
      <c r="E104" s="98">
        <f>H104/'My Contect'!$E$2</f>
        <v>0</v>
      </c>
      <c r="F104" s="98">
        <f>I104/'My Contect'!$E$2</f>
        <v>2340</v>
      </c>
      <c r="G104" s="215"/>
      <c r="H104" s="227">
        <f>Sheet4!C68</f>
        <v>0</v>
      </c>
      <c r="I104" s="98">
        <f>Sheet4!D68</f>
        <v>2340</v>
      </c>
    </row>
    <row r="105" spans="2:9">
      <c r="B105" s="294"/>
      <c r="C105" s="260"/>
      <c r="D105" s="214"/>
      <c r="E105" s="113"/>
      <c r="F105" s="113"/>
      <c r="G105" s="215"/>
      <c r="H105" s="261"/>
      <c r="I105" s="261"/>
    </row>
    <row r="106" spans="2:9" ht="13.8" thickBot="1">
      <c r="B106" s="209"/>
      <c r="C106" s="210" t="s">
        <v>185</v>
      </c>
      <c r="D106" s="210"/>
      <c r="E106" s="295">
        <f>SUM(E100:E105)</f>
        <v>278720.84000000003</v>
      </c>
      <c r="F106" s="296">
        <f>SUM(F100:F105)</f>
        <v>378414</v>
      </c>
      <c r="G106" s="67"/>
      <c r="H106" s="265">
        <f>SUM(H100:H105)</f>
        <v>278720.84000000003</v>
      </c>
      <c r="I106" s="297">
        <f>SUM(I100:I105)</f>
        <v>378414</v>
      </c>
    </row>
    <row r="107" spans="2:9" ht="13.8" thickTop="1">
      <c r="H107" s="298"/>
      <c r="I107" s="298"/>
    </row>
    <row r="108" spans="2:9">
      <c r="H108" s="298"/>
      <c r="I108" s="298"/>
    </row>
    <row r="109" spans="2:9">
      <c r="B109" s="133">
        <f>+BS!C25</f>
        <v>6</v>
      </c>
      <c r="C109" s="67" t="s">
        <v>210</v>
      </c>
      <c r="D109" s="67"/>
      <c r="E109" s="67"/>
      <c r="F109" s="69" t="str">
        <f>F98</f>
        <v>(Amount in INR)</v>
      </c>
      <c r="G109" s="67"/>
      <c r="H109" s="298"/>
      <c r="I109" s="298"/>
    </row>
    <row r="110" spans="2:9" ht="38.25" customHeight="1">
      <c r="B110" s="201"/>
      <c r="C110" s="202" t="s">
        <v>97</v>
      </c>
      <c r="D110" s="203"/>
      <c r="E110" s="288" t="str">
        <f>E99</f>
        <v>As at 31.03.2025</v>
      </c>
      <c r="F110" s="289" t="str">
        <f>F99</f>
        <v>As at 31.03.2024</v>
      </c>
      <c r="G110" s="270"/>
      <c r="H110" s="299" t="str">
        <f>H99</f>
        <v>As at 31.03.2025
Amount (Rs.)</v>
      </c>
      <c r="I110" s="300" t="str">
        <f>I99</f>
        <v>As at 31.03.2024
Amount (Rs.)</v>
      </c>
    </row>
    <row r="111" spans="2:9">
      <c r="B111" s="206"/>
      <c r="C111" s="208"/>
      <c r="D111" s="290"/>
      <c r="E111" s="207"/>
      <c r="F111" s="274"/>
      <c r="G111" s="208"/>
      <c r="H111" s="301"/>
      <c r="I111" s="302"/>
    </row>
    <row r="112" spans="2:9">
      <c r="B112" s="206" t="s">
        <v>167</v>
      </c>
      <c r="C112" s="303" t="s">
        <v>211</v>
      </c>
      <c r="D112" s="273"/>
      <c r="E112" s="98"/>
      <c r="F112" s="98"/>
      <c r="G112" s="208"/>
      <c r="H112" s="304"/>
      <c r="I112" s="305"/>
    </row>
    <row r="113" spans="2:9">
      <c r="B113" s="206"/>
      <c r="C113" s="208" t="s">
        <v>212</v>
      </c>
      <c r="D113" s="290"/>
      <c r="E113" s="98">
        <f>H113/'My Contect'!$E$2</f>
        <v>38850</v>
      </c>
      <c r="F113" s="98">
        <f>I113/'My Contect'!$E$2</f>
        <v>0</v>
      </c>
      <c r="G113" s="208"/>
      <c r="H113" s="280">
        <f>PL!G26</f>
        <v>38850</v>
      </c>
      <c r="I113" s="280">
        <f>PL!H26</f>
        <v>0</v>
      </c>
    </row>
    <row r="114" spans="2:9">
      <c r="B114" s="206"/>
      <c r="C114" s="208" t="s">
        <v>213</v>
      </c>
      <c r="D114" s="290"/>
      <c r="E114" s="98">
        <f>H114/'My Contect'!$E$2</f>
        <v>0</v>
      </c>
      <c r="F114" s="98">
        <f>I114/'My Contect'!$E$2</f>
        <v>0</v>
      </c>
      <c r="G114" s="208"/>
      <c r="H114" s="280"/>
      <c r="I114" s="279">
        <v>0</v>
      </c>
    </row>
    <row r="115" spans="2:9">
      <c r="B115" s="306"/>
      <c r="D115" s="215"/>
      <c r="E115" s="98"/>
      <c r="F115" s="98"/>
      <c r="H115" s="280"/>
      <c r="I115" s="281"/>
    </row>
    <row r="116" spans="2:9" ht="13.8" thickBot="1">
      <c r="B116" s="307"/>
      <c r="C116" s="210" t="s">
        <v>185</v>
      </c>
      <c r="D116" s="210"/>
      <c r="E116" s="295">
        <f>SUM(E111:E115)</f>
        <v>38850</v>
      </c>
      <c r="F116" s="308">
        <f>SUM(F111:F115)</f>
        <v>0</v>
      </c>
      <c r="G116" s="67"/>
      <c r="H116" s="309">
        <f>SUM(H111:H115)</f>
        <v>38850</v>
      </c>
      <c r="I116" s="310">
        <f>SUM(I111:I115)</f>
        <v>0</v>
      </c>
    </row>
    <row r="117" spans="2:9" ht="13.8" thickTop="1">
      <c r="B117" s="267"/>
      <c r="C117" s="67"/>
      <c r="D117" s="67"/>
      <c r="E117" s="127"/>
      <c r="F117" s="127"/>
      <c r="G117" s="67"/>
      <c r="H117" s="311"/>
      <c r="I117" s="311"/>
    </row>
    <row r="118" spans="2:9">
      <c r="B118" s="267"/>
      <c r="C118" s="67"/>
      <c r="D118" s="67"/>
      <c r="E118" s="127"/>
      <c r="F118" s="127"/>
      <c r="G118" s="67"/>
      <c r="H118" s="311"/>
      <c r="I118" s="311"/>
    </row>
    <row r="119" spans="2:9">
      <c r="B119" s="267"/>
      <c r="C119" s="67"/>
      <c r="D119" s="67"/>
      <c r="E119" s="127"/>
      <c r="F119" s="127"/>
      <c r="G119" s="67"/>
      <c r="H119" s="311"/>
      <c r="I119" s="311"/>
    </row>
    <row r="120" spans="2:9">
      <c r="B120" s="267"/>
      <c r="C120" s="67"/>
      <c r="D120" s="67"/>
      <c r="E120" s="127"/>
      <c r="F120" s="127"/>
      <c r="G120" s="67"/>
      <c r="H120" s="311"/>
      <c r="I120" s="311"/>
    </row>
    <row r="121" spans="2:9">
      <c r="H121" s="298"/>
      <c r="I121" s="298"/>
    </row>
    <row r="122" spans="2:9">
      <c r="C122" s="144" t="str">
        <f>'[1]BS Cap (2)'!C23</f>
        <v>(CA. KESHAV GUPTA)</v>
      </c>
      <c r="D122" s="144"/>
      <c r="E122" s="144" t="str">
        <f t="shared" ref="E122:E123" si="1">E41</f>
        <v>ASHWANI KUMAR SINGLA</v>
      </c>
      <c r="F122" s="144"/>
      <c r="G122" s="144"/>
      <c r="H122" s="144"/>
      <c r="I122" s="287"/>
    </row>
    <row r="123" spans="2:9">
      <c r="C123" s="144" t="str">
        <f>C42</f>
        <v>AUDITOR</v>
      </c>
      <c r="D123" s="144"/>
      <c r="E123" s="144" t="str">
        <f t="shared" si="1"/>
        <v>PROPRIETOR</v>
      </c>
      <c r="F123" s="144"/>
      <c r="G123" s="144"/>
      <c r="H123" s="144"/>
      <c r="I123" s="287"/>
    </row>
    <row r="124" spans="2:9">
      <c r="E124" s="144"/>
      <c r="F124" s="144"/>
      <c r="H124" s="144"/>
      <c r="I124" s="287"/>
    </row>
    <row r="125" spans="2:9">
      <c r="H125" s="298"/>
      <c r="I125" s="298"/>
    </row>
    <row r="126" spans="2:9">
      <c r="H126" s="298"/>
      <c r="I126" s="298"/>
    </row>
    <row r="127" spans="2:9">
      <c r="H127" s="298"/>
      <c r="I127" s="298"/>
    </row>
    <row r="128" spans="2:9">
      <c r="H128" s="298"/>
      <c r="I128" s="298"/>
    </row>
    <row r="129" spans="8:9">
      <c r="H129" s="298"/>
      <c r="I129" s="298"/>
    </row>
    <row r="130" spans="8:9">
      <c r="H130" s="298"/>
      <c r="I130" s="298"/>
    </row>
    <row r="131" spans="8:9">
      <c r="H131" s="298"/>
      <c r="I131" s="298"/>
    </row>
    <row r="132" spans="8:9">
      <c r="H132" s="298"/>
      <c r="I132" s="298"/>
    </row>
    <row r="133" spans="8:9">
      <c r="H133" s="298"/>
      <c r="I133" s="298"/>
    </row>
    <row r="134" spans="8:9">
      <c r="H134" s="298"/>
      <c r="I134" s="298"/>
    </row>
    <row r="135" spans="8:9">
      <c r="H135" s="298"/>
      <c r="I135" s="298"/>
    </row>
    <row r="136" spans="8:9">
      <c r="H136" s="298"/>
      <c r="I136" s="298"/>
    </row>
    <row r="137" spans="8:9">
      <c r="H137" s="298"/>
      <c r="I137" s="298"/>
    </row>
    <row r="138" spans="8:9">
      <c r="H138" s="298"/>
      <c r="I138" s="298"/>
    </row>
    <row r="139" spans="8:9">
      <c r="H139" s="298"/>
      <c r="I139" s="298"/>
    </row>
    <row r="140" spans="8:9">
      <c r="H140" s="298"/>
      <c r="I140" s="298"/>
    </row>
    <row r="141" spans="8:9">
      <c r="H141" s="298"/>
      <c r="I141" s="298"/>
    </row>
    <row r="142" spans="8:9">
      <c r="H142" s="298"/>
      <c r="I142" s="298"/>
    </row>
    <row r="143" spans="8:9">
      <c r="H143" s="298"/>
      <c r="I143" s="298"/>
    </row>
    <row r="144" spans="8:9">
      <c r="H144" s="298"/>
      <c r="I144" s="298"/>
    </row>
    <row r="145" spans="8:9">
      <c r="H145" s="298"/>
      <c r="I145" s="298"/>
    </row>
    <row r="146" spans="8:9">
      <c r="H146" s="298"/>
      <c r="I146" s="298"/>
    </row>
    <row r="147" spans="8:9">
      <c r="H147" s="298"/>
      <c r="I147" s="298"/>
    </row>
    <row r="148" spans="8:9">
      <c r="H148" s="298"/>
      <c r="I148" s="298"/>
    </row>
    <row r="149" spans="8:9">
      <c r="H149" s="298"/>
      <c r="I149" s="298"/>
    </row>
    <row r="150" spans="8:9">
      <c r="H150" s="298"/>
      <c r="I150" s="298"/>
    </row>
    <row r="151" spans="8:9">
      <c r="H151" s="298"/>
      <c r="I151" s="298"/>
    </row>
    <row r="152" spans="8:9">
      <c r="H152" s="298"/>
      <c r="I152" s="298"/>
    </row>
    <row r="153" spans="8:9">
      <c r="H153" s="298"/>
      <c r="I153" s="298"/>
    </row>
  </sheetData>
  <pageMargins left="0.7" right="0.7" top="0.75" bottom="0.75" header="0.3" footer="0.3"/>
  <pageSetup paperSize="9" scale="97" fitToHeight="0" orientation="portrait" r:id="rId1"/>
  <headerFooter alignWithMargins="0"/>
  <rowBreaks count="1" manualBreakCount="1">
    <brk id="93" max="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14327-8436-4DCC-82DA-8CA691F8881B}">
  <sheetPr>
    <tabColor rgb="FF92D050"/>
    <pageSetUpPr fitToPage="1"/>
  </sheetPr>
  <dimension ref="A1:N74"/>
  <sheetViews>
    <sheetView topLeftCell="A36" zoomScaleNormal="100" zoomScaleSheetLayoutView="100" workbookViewId="0">
      <selection activeCell="I20" sqref="I20"/>
    </sheetView>
  </sheetViews>
  <sheetFormatPr defaultRowHeight="13.2"/>
  <cols>
    <col min="1" max="1" width="0.6640625" style="313" customWidth="1"/>
    <col min="2" max="2" width="3.5546875" style="82" customWidth="1"/>
    <col min="3" max="3" width="29.6640625" style="313" bestFit="1" customWidth="1"/>
    <col min="4" max="11" width="14.33203125" style="313" customWidth="1"/>
    <col min="12" max="12" width="8.88671875" style="313"/>
    <col min="13" max="13" width="13.33203125" style="313" bestFit="1" customWidth="1"/>
    <col min="14" max="14" width="11.88671875" style="313" bestFit="1" customWidth="1"/>
    <col min="15" max="254" width="8.88671875" style="313"/>
    <col min="255" max="255" width="0.6640625" style="313" customWidth="1"/>
    <col min="256" max="256" width="3.5546875" style="313" customWidth="1"/>
    <col min="257" max="257" width="29.6640625" style="313" bestFit="1" customWidth="1"/>
    <col min="258" max="267" width="12" style="313" customWidth="1"/>
    <col min="268" max="510" width="8.88671875" style="313"/>
    <col min="511" max="511" width="0.6640625" style="313" customWidth="1"/>
    <col min="512" max="512" width="3.5546875" style="313" customWidth="1"/>
    <col min="513" max="513" width="29.6640625" style="313" bestFit="1" customWidth="1"/>
    <col min="514" max="523" width="12" style="313" customWidth="1"/>
    <col min="524" max="766" width="8.88671875" style="313"/>
    <col min="767" max="767" width="0.6640625" style="313" customWidth="1"/>
    <col min="768" max="768" width="3.5546875" style="313" customWidth="1"/>
    <col min="769" max="769" width="29.6640625" style="313" bestFit="1" customWidth="1"/>
    <col min="770" max="779" width="12" style="313" customWidth="1"/>
    <col min="780" max="1022" width="8.88671875" style="313"/>
    <col min="1023" max="1023" width="0.6640625" style="313" customWidth="1"/>
    <col min="1024" max="1024" width="3.5546875" style="313" customWidth="1"/>
    <col min="1025" max="1025" width="29.6640625" style="313" bestFit="1" customWidth="1"/>
    <col min="1026" max="1035" width="12" style="313" customWidth="1"/>
    <col min="1036" max="1278" width="8.88671875" style="313"/>
    <col min="1279" max="1279" width="0.6640625" style="313" customWidth="1"/>
    <col min="1280" max="1280" width="3.5546875" style="313" customWidth="1"/>
    <col min="1281" max="1281" width="29.6640625" style="313" bestFit="1" customWidth="1"/>
    <col min="1282" max="1291" width="12" style="313" customWidth="1"/>
    <col min="1292" max="1534" width="8.88671875" style="313"/>
    <col min="1535" max="1535" width="0.6640625" style="313" customWidth="1"/>
    <col min="1536" max="1536" width="3.5546875" style="313" customWidth="1"/>
    <col min="1537" max="1537" width="29.6640625" style="313" bestFit="1" customWidth="1"/>
    <col min="1538" max="1547" width="12" style="313" customWidth="1"/>
    <col min="1548" max="1790" width="8.88671875" style="313"/>
    <col min="1791" max="1791" width="0.6640625" style="313" customWidth="1"/>
    <col min="1792" max="1792" width="3.5546875" style="313" customWidth="1"/>
    <col min="1793" max="1793" width="29.6640625" style="313" bestFit="1" customWidth="1"/>
    <col min="1794" max="1803" width="12" style="313" customWidth="1"/>
    <col min="1804" max="2046" width="8.88671875" style="313"/>
    <col min="2047" max="2047" width="0.6640625" style="313" customWidth="1"/>
    <col min="2048" max="2048" width="3.5546875" style="313" customWidth="1"/>
    <col min="2049" max="2049" width="29.6640625" style="313" bestFit="1" customWidth="1"/>
    <col min="2050" max="2059" width="12" style="313" customWidth="1"/>
    <col min="2060" max="2302" width="8.88671875" style="313"/>
    <col min="2303" max="2303" width="0.6640625" style="313" customWidth="1"/>
    <col min="2304" max="2304" width="3.5546875" style="313" customWidth="1"/>
    <col min="2305" max="2305" width="29.6640625" style="313" bestFit="1" customWidth="1"/>
    <col min="2306" max="2315" width="12" style="313" customWidth="1"/>
    <col min="2316" max="2558" width="8.88671875" style="313"/>
    <col min="2559" max="2559" width="0.6640625" style="313" customWidth="1"/>
    <col min="2560" max="2560" width="3.5546875" style="313" customWidth="1"/>
    <col min="2561" max="2561" width="29.6640625" style="313" bestFit="1" customWidth="1"/>
    <col min="2562" max="2571" width="12" style="313" customWidth="1"/>
    <col min="2572" max="2814" width="8.88671875" style="313"/>
    <col min="2815" max="2815" width="0.6640625" style="313" customWidth="1"/>
    <col min="2816" max="2816" width="3.5546875" style="313" customWidth="1"/>
    <col min="2817" max="2817" width="29.6640625" style="313" bestFit="1" customWidth="1"/>
    <col min="2818" max="2827" width="12" style="313" customWidth="1"/>
    <col min="2828" max="3070" width="8.88671875" style="313"/>
    <col min="3071" max="3071" width="0.6640625" style="313" customWidth="1"/>
    <col min="3072" max="3072" width="3.5546875" style="313" customWidth="1"/>
    <col min="3073" max="3073" width="29.6640625" style="313" bestFit="1" customWidth="1"/>
    <col min="3074" max="3083" width="12" style="313" customWidth="1"/>
    <col min="3084" max="3326" width="8.88671875" style="313"/>
    <col min="3327" max="3327" width="0.6640625" style="313" customWidth="1"/>
    <col min="3328" max="3328" width="3.5546875" style="313" customWidth="1"/>
    <col min="3329" max="3329" width="29.6640625" style="313" bestFit="1" customWidth="1"/>
    <col min="3330" max="3339" width="12" style="313" customWidth="1"/>
    <col min="3340" max="3582" width="8.88671875" style="313"/>
    <col min="3583" max="3583" width="0.6640625" style="313" customWidth="1"/>
    <col min="3584" max="3584" width="3.5546875" style="313" customWidth="1"/>
    <col min="3585" max="3585" width="29.6640625" style="313" bestFit="1" customWidth="1"/>
    <col min="3586" max="3595" width="12" style="313" customWidth="1"/>
    <col min="3596" max="3838" width="8.88671875" style="313"/>
    <col min="3839" max="3839" width="0.6640625" style="313" customWidth="1"/>
    <col min="3840" max="3840" width="3.5546875" style="313" customWidth="1"/>
    <col min="3841" max="3841" width="29.6640625" style="313" bestFit="1" customWidth="1"/>
    <col min="3842" max="3851" width="12" style="313" customWidth="1"/>
    <col min="3852" max="4094" width="8.88671875" style="313"/>
    <col min="4095" max="4095" width="0.6640625" style="313" customWidth="1"/>
    <col min="4096" max="4096" width="3.5546875" style="313" customWidth="1"/>
    <col min="4097" max="4097" width="29.6640625" style="313" bestFit="1" customWidth="1"/>
    <col min="4098" max="4107" width="12" style="313" customWidth="1"/>
    <col min="4108" max="4350" width="8.88671875" style="313"/>
    <col min="4351" max="4351" width="0.6640625" style="313" customWidth="1"/>
    <col min="4352" max="4352" width="3.5546875" style="313" customWidth="1"/>
    <col min="4353" max="4353" width="29.6640625" style="313" bestFit="1" customWidth="1"/>
    <col min="4354" max="4363" width="12" style="313" customWidth="1"/>
    <col min="4364" max="4606" width="8.88671875" style="313"/>
    <col min="4607" max="4607" width="0.6640625" style="313" customWidth="1"/>
    <col min="4608" max="4608" width="3.5546875" style="313" customWidth="1"/>
    <col min="4609" max="4609" width="29.6640625" style="313" bestFit="1" customWidth="1"/>
    <col min="4610" max="4619" width="12" style="313" customWidth="1"/>
    <col min="4620" max="4862" width="8.88671875" style="313"/>
    <col min="4863" max="4863" width="0.6640625" style="313" customWidth="1"/>
    <col min="4864" max="4864" width="3.5546875" style="313" customWidth="1"/>
    <col min="4865" max="4865" width="29.6640625" style="313" bestFit="1" customWidth="1"/>
    <col min="4866" max="4875" width="12" style="313" customWidth="1"/>
    <col min="4876" max="5118" width="8.88671875" style="313"/>
    <col min="5119" max="5119" width="0.6640625" style="313" customWidth="1"/>
    <col min="5120" max="5120" width="3.5546875" style="313" customWidth="1"/>
    <col min="5121" max="5121" width="29.6640625" style="313" bestFit="1" customWidth="1"/>
    <col min="5122" max="5131" width="12" style="313" customWidth="1"/>
    <col min="5132" max="5374" width="8.88671875" style="313"/>
    <col min="5375" max="5375" width="0.6640625" style="313" customWidth="1"/>
    <col min="5376" max="5376" width="3.5546875" style="313" customWidth="1"/>
    <col min="5377" max="5377" width="29.6640625" style="313" bestFit="1" customWidth="1"/>
    <col min="5378" max="5387" width="12" style="313" customWidth="1"/>
    <col min="5388" max="5630" width="8.88671875" style="313"/>
    <col min="5631" max="5631" width="0.6640625" style="313" customWidth="1"/>
    <col min="5632" max="5632" width="3.5546875" style="313" customWidth="1"/>
    <col min="5633" max="5633" width="29.6640625" style="313" bestFit="1" customWidth="1"/>
    <col min="5634" max="5643" width="12" style="313" customWidth="1"/>
    <col min="5644" max="5886" width="8.88671875" style="313"/>
    <col min="5887" max="5887" width="0.6640625" style="313" customWidth="1"/>
    <col min="5888" max="5888" width="3.5546875" style="313" customWidth="1"/>
    <col min="5889" max="5889" width="29.6640625" style="313" bestFit="1" customWidth="1"/>
    <col min="5890" max="5899" width="12" style="313" customWidth="1"/>
    <col min="5900" max="6142" width="8.88671875" style="313"/>
    <col min="6143" max="6143" width="0.6640625" style="313" customWidth="1"/>
    <col min="6144" max="6144" width="3.5546875" style="313" customWidth="1"/>
    <col min="6145" max="6145" width="29.6640625" style="313" bestFit="1" customWidth="1"/>
    <col min="6146" max="6155" width="12" style="313" customWidth="1"/>
    <col min="6156" max="6398" width="8.88671875" style="313"/>
    <col min="6399" max="6399" width="0.6640625" style="313" customWidth="1"/>
    <col min="6400" max="6400" width="3.5546875" style="313" customWidth="1"/>
    <col min="6401" max="6401" width="29.6640625" style="313" bestFit="1" customWidth="1"/>
    <col min="6402" max="6411" width="12" style="313" customWidth="1"/>
    <col min="6412" max="6654" width="8.88671875" style="313"/>
    <col min="6655" max="6655" width="0.6640625" style="313" customWidth="1"/>
    <col min="6656" max="6656" width="3.5546875" style="313" customWidth="1"/>
    <col min="6657" max="6657" width="29.6640625" style="313" bestFit="1" customWidth="1"/>
    <col min="6658" max="6667" width="12" style="313" customWidth="1"/>
    <col min="6668" max="6910" width="8.88671875" style="313"/>
    <col min="6911" max="6911" width="0.6640625" style="313" customWidth="1"/>
    <col min="6912" max="6912" width="3.5546875" style="313" customWidth="1"/>
    <col min="6913" max="6913" width="29.6640625" style="313" bestFit="1" customWidth="1"/>
    <col min="6914" max="6923" width="12" style="313" customWidth="1"/>
    <col min="6924" max="7166" width="8.88671875" style="313"/>
    <col min="7167" max="7167" width="0.6640625" style="313" customWidth="1"/>
    <col min="7168" max="7168" width="3.5546875" style="313" customWidth="1"/>
    <col min="7169" max="7169" width="29.6640625" style="313" bestFit="1" customWidth="1"/>
    <col min="7170" max="7179" width="12" style="313" customWidth="1"/>
    <col min="7180" max="7422" width="8.88671875" style="313"/>
    <col min="7423" max="7423" width="0.6640625" style="313" customWidth="1"/>
    <col min="7424" max="7424" width="3.5546875" style="313" customWidth="1"/>
    <col min="7425" max="7425" width="29.6640625" style="313" bestFit="1" customWidth="1"/>
    <col min="7426" max="7435" width="12" style="313" customWidth="1"/>
    <col min="7436" max="7678" width="8.88671875" style="313"/>
    <col min="7679" max="7679" width="0.6640625" style="313" customWidth="1"/>
    <col min="7680" max="7680" width="3.5546875" style="313" customWidth="1"/>
    <col min="7681" max="7681" width="29.6640625" style="313" bestFit="1" customWidth="1"/>
    <col min="7682" max="7691" width="12" style="313" customWidth="1"/>
    <col min="7692" max="7934" width="8.88671875" style="313"/>
    <col min="7935" max="7935" width="0.6640625" style="313" customWidth="1"/>
    <col min="7936" max="7936" width="3.5546875" style="313" customWidth="1"/>
    <col min="7937" max="7937" width="29.6640625" style="313" bestFit="1" customWidth="1"/>
    <col min="7938" max="7947" width="12" style="313" customWidth="1"/>
    <col min="7948" max="8190" width="8.88671875" style="313"/>
    <col min="8191" max="8191" width="0.6640625" style="313" customWidth="1"/>
    <col min="8192" max="8192" width="3.5546875" style="313" customWidth="1"/>
    <col min="8193" max="8193" width="29.6640625" style="313" bestFit="1" customWidth="1"/>
    <col min="8194" max="8203" width="12" style="313" customWidth="1"/>
    <col min="8204" max="8446" width="8.88671875" style="313"/>
    <col min="8447" max="8447" width="0.6640625" style="313" customWidth="1"/>
    <col min="8448" max="8448" width="3.5546875" style="313" customWidth="1"/>
    <col min="8449" max="8449" width="29.6640625" style="313" bestFit="1" customWidth="1"/>
    <col min="8450" max="8459" width="12" style="313" customWidth="1"/>
    <col min="8460" max="8702" width="8.88671875" style="313"/>
    <col min="8703" max="8703" width="0.6640625" style="313" customWidth="1"/>
    <col min="8704" max="8704" width="3.5546875" style="313" customWidth="1"/>
    <col min="8705" max="8705" width="29.6640625" style="313" bestFit="1" customWidth="1"/>
    <col min="8706" max="8715" width="12" style="313" customWidth="1"/>
    <col min="8716" max="8958" width="8.88671875" style="313"/>
    <col min="8959" max="8959" width="0.6640625" style="313" customWidth="1"/>
    <col min="8960" max="8960" width="3.5546875" style="313" customWidth="1"/>
    <col min="8961" max="8961" width="29.6640625" style="313" bestFit="1" customWidth="1"/>
    <col min="8962" max="8971" width="12" style="313" customWidth="1"/>
    <col min="8972" max="9214" width="8.88671875" style="313"/>
    <col min="9215" max="9215" width="0.6640625" style="313" customWidth="1"/>
    <col min="9216" max="9216" width="3.5546875" style="313" customWidth="1"/>
    <col min="9217" max="9217" width="29.6640625" style="313" bestFit="1" customWidth="1"/>
    <col min="9218" max="9227" width="12" style="313" customWidth="1"/>
    <col min="9228" max="9470" width="8.88671875" style="313"/>
    <col min="9471" max="9471" width="0.6640625" style="313" customWidth="1"/>
    <col min="9472" max="9472" width="3.5546875" style="313" customWidth="1"/>
    <col min="9473" max="9473" width="29.6640625" style="313" bestFit="1" customWidth="1"/>
    <col min="9474" max="9483" width="12" style="313" customWidth="1"/>
    <col min="9484" max="9726" width="8.88671875" style="313"/>
    <col min="9727" max="9727" width="0.6640625" style="313" customWidth="1"/>
    <col min="9728" max="9728" width="3.5546875" style="313" customWidth="1"/>
    <col min="9729" max="9729" width="29.6640625" style="313" bestFit="1" customWidth="1"/>
    <col min="9730" max="9739" width="12" style="313" customWidth="1"/>
    <col min="9740" max="9982" width="8.88671875" style="313"/>
    <col min="9983" max="9983" width="0.6640625" style="313" customWidth="1"/>
    <col min="9984" max="9984" width="3.5546875" style="313" customWidth="1"/>
    <col min="9985" max="9985" width="29.6640625" style="313" bestFit="1" customWidth="1"/>
    <col min="9986" max="9995" width="12" style="313" customWidth="1"/>
    <col min="9996" max="10238" width="8.88671875" style="313"/>
    <col min="10239" max="10239" width="0.6640625" style="313" customWidth="1"/>
    <col min="10240" max="10240" width="3.5546875" style="313" customWidth="1"/>
    <col min="10241" max="10241" width="29.6640625" style="313" bestFit="1" customWidth="1"/>
    <col min="10242" max="10251" width="12" style="313" customWidth="1"/>
    <col min="10252" max="10494" width="8.88671875" style="313"/>
    <col min="10495" max="10495" width="0.6640625" style="313" customWidth="1"/>
    <col min="10496" max="10496" width="3.5546875" style="313" customWidth="1"/>
    <col min="10497" max="10497" width="29.6640625" style="313" bestFit="1" customWidth="1"/>
    <col min="10498" max="10507" width="12" style="313" customWidth="1"/>
    <col min="10508" max="10750" width="8.88671875" style="313"/>
    <col min="10751" max="10751" width="0.6640625" style="313" customWidth="1"/>
    <col min="10752" max="10752" width="3.5546875" style="313" customWidth="1"/>
    <col min="10753" max="10753" width="29.6640625" style="313" bestFit="1" customWidth="1"/>
    <col min="10754" max="10763" width="12" style="313" customWidth="1"/>
    <col min="10764" max="11006" width="8.88671875" style="313"/>
    <col min="11007" max="11007" width="0.6640625" style="313" customWidth="1"/>
    <col min="11008" max="11008" width="3.5546875" style="313" customWidth="1"/>
    <col min="11009" max="11009" width="29.6640625" style="313" bestFit="1" customWidth="1"/>
    <col min="11010" max="11019" width="12" style="313" customWidth="1"/>
    <col min="11020" max="11262" width="8.88671875" style="313"/>
    <col min="11263" max="11263" width="0.6640625" style="313" customWidth="1"/>
    <col min="11264" max="11264" width="3.5546875" style="313" customWidth="1"/>
    <col min="11265" max="11265" width="29.6640625" style="313" bestFit="1" customWidth="1"/>
    <col min="11266" max="11275" width="12" style="313" customWidth="1"/>
    <col min="11276" max="11518" width="8.88671875" style="313"/>
    <col min="11519" max="11519" width="0.6640625" style="313" customWidth="1"/>
    <col min="11520" max="11520" width="3.5546875" style="313" customWidth="1"/>
    <col min="11521" max="11521" width="29.6640625" style="313" bestFit="1" customWidth="1"/>
    <col min="11522" max="11531" width="12" style="313" customWidth="1"/>
    <col min="11532" max="11774" width="8.88671875" style="313"/>
    <col min="11775" max="11775" width="0.6640625" style="313" customWidth="1"/>
    <col min="11776" max="11776" width="3.5546875" style="313" customWidth="1"/>
    <col min="11777" max="11777" width="29.6640625" style="313" bestFit="1" customWidth="1"/>
    <col min="11778" max="11787" width="12" style="313" customWidth="1"/>
    <col min="11788" max="12030" width="8.88671875" style="313"/>
    <col min="12031" max="12031" width="0.6640625" style="313" customWidth="1"/>
    <col min="12032" max="12032" width="3.5546875" style="313" customWidth="1"/>
    <col min="12033" max="12033" width="29.6640625" style="313" bestFit="1" customWidth="1"/>
    <col min="12034" max="12043" width="12" style="313" customWidth="1"/>
    <col min="12044" max="12286" width="8.88671875" style="313"/>
    <col min="12287" max="12287" width="0.6640625" style="313" customWidth="1"/>
    <col min="12288" max="12288" width="3.5546875" style="313" customWidth="1"/>
    <col min="12289" max="12289" width="29.6640625" style="313" bestFit="1" customWidth="1"/>
    <col min="12290" max="12299" width="12" style="313" customWidth="1"/>
    <col min="12300" max="12542" width="8.88671875" style="313"/>
    <col min="12543" max="12543" width="0.6640625" style="313" customWidth="1"/>
    <col min="12544" max="12544" width="3.5546875" style="313" customWidth="1"/>
    <col min="12545" max="12545" width="29.6640625" style="313" bestFit="1" customWidth="1"/>
    <col min="12546" max="12555" width="12" style="313" customWidth="1"/>
    <col min="12556" max="12798" width="8.88671875" style="313"/>
    <col min="12799" max="12799" width="0.6640625" style="313" customWidth="1"/>
    <col min="12800" max="12800" width="3.5546875" style="313" customWidth="1"/>
    <col min="12801" max="12801" width="29.6640625" style="313" bestFit="1" customWidth="1"/>
    <col min="12802" max="12811" width="12" style="313" customWidth="1"/>
    <col min="12812" max="13054" width="8.88671875" style="313"/>
    <col min="13055" max="13055" width="0.6640625" style="313" customWidth="1"/>
    <col min="13056" max="13056" width="3.5546875" style="313" customWidth="1"/>
    <col min="13057" max="13057" width="29.6640625" style="313" bestFit="1" customWidth="1"/>
    <col min="13058" max="13067" width="12" style="313" customWidth="1"/>
    <col min="13068" max="13310" width="8.88671875" style="313"/>
    <col min="13311" max="13311" width="0.6640625" style="313" customWidth="1"/>
    <col min="13312" max="13312" width="3.5546875" style="313" customWidth="1"/>
    <col min="13313" max="13313" width="29.6640625" style="313" bestFit="1" customWidth="1"/>
    <col min="13314" max="13323" width="12" style="313" customWidth="1"/>
    <col min="13324" max="13566" width="8.88671875" style="313"/>
    <col min="13567" max="13567" width="0.6640625" style="313" customWidth="1"/>
    <col min="13568" max="13568" width="3.5546875" style="313" customWidth="1"/>
    <col min="13569" max="13569" width="29.6640625" style="313" bestFit="1" customWidth="1"/>
    <col min="13570" max="13579" width="12" style="313" customWidth="1"/>
    <col min="13580" max="13822" width="8.88671875" style="313"/>
    <col min="13823" max="13823" width="0.6640625" style="313" customWidth="1"/>
    <col min="13824" max="13824" width="3.5546875" style="313" customWidth="1"/>
    <col min="13825" max="13825" width="29.6640625" style="313" bestFit="1" customWidth="1"/>
    <col min="13826" max="13835" width="12" style="313" customWidth="1"/>
    <col min="13836" max="14078" width="8.88671875" style="313"/>
    <col min="14079" max="14079" width="0.6640625" style="313" customWidth="1"/>
    <col min="14080" max="14080" width="3.5546875" style="313" customWidth="1"/>
    <col min="14081" max="14081" width="29.6640625" style="313" bestFit="1" customWidth="1"/>
    <col min="14082" max="14091" width="12" style="313" customWidth="1"/>
    <col min="14092" max="14334" width="8.88671875" style="313"/>
    <col min="14335" max="14335" width="0.6640625" style="313" customWidth="1"/>
    <col min="14336" max="14336" width="3.5546875" style="313" customWidth="1"/>
    <col min="14337" max="14337" width="29.6640625" style="313" bestFit="1" customWidth="1"/>
    <col min="14338" max="14347" width="12" style="313" customWidth="1"/>
    <col min="14348" max="14590" width="8.88671875" style="313"/>
    <col min="14591" max="14591" width="0.6640625" style="313" customWidth="1"/>
    <col min="14592" max="14592" width="3.5546875" style="313" customWidth="1"/>
    <col min="14593" max="14593" width="29.6640625" style="313" bestFit="1" customWidth="1"/>
    <col min="14594" max="14603" width="12" style="313" customWidth="1"/>
    <col min="14604" max="14846" width="8.88671875" style="313"/>
    <col min="14847" max="14847" width="0.6640625" style="313" customWidth="1"/>
    <col min="14848" max="14848" width="3.5546875" style="313" customWidth="1"/>
    <col min="14849" max="14849" width="29.6640625" style="313" bestFit="1" customWidth="1"/>
    <col min="14850" max="14859" width="12" style="313" customWidth="1"/>
    <col min="14860" max="15102" width="8.88671875" style="313"/>
    <col min="15103" max="15103" width="0.6640625" style="313" customWidth="1"/>
    <col min="15104" max="15104" width="3.5546875" style="313" customWidth="1"/>
    <col min="15105" max="15105" width="29.6640625" style="313" bestFit="1" customWidth="1"/>
    <col min="15106" max="15115" width="12" style="313" customWidth="1"/>
    <col min="15116" max="15358" width="8.88671875" style="313"/>
    <col min="15359" max="15359" width="0.6640625" style="313" customWidth="1"/>
    <col min="15360" max="15360" width="3.5546875" style="313" customWidth="1"/>
    <col min="15361" max="15361" width="29.6640625" style="313" bestFit="1" customWidth="1"/>
    <col min="15362" max="15371" width="12" style="313" customWidth="1"/>
    <col min="15372" max="15614" width="8.88671875" style="313"/>
    <col min="15615" max="15615" width="0.6640625" style="313" customWidth="1"/>
    <col min="15616" max="15616" width="3.5546875" style="313" customWidth="1"/>
    <col min="15617" max="15617" width="29.6640625" style="313" bestFit="1" customWidth="1"/>
    <col min="15618" max="15627" width="12" style="313" customWidth="1"/>
    <col min="15628" max="15870" width="8.88671875" style="313"/>
    <col min="15871" max="15871" width="0.6640625" style="313" customWidth="1"/>
    <col min="15872" max="15872" width="3.5546875" style="313" customWidth="1"/>
    <col min="15873" max="15873" width="29.6640625" style="313" bestFit="1" customWidth="1"/>
    <col min="15874" max="15883" width="12" style="313" customWidth="1"/>
    <col min="15884" max="16126" width="8.88671875" style="313"/>
    <col min="16127" max="16127" width="0.6640625" style="313" customWidth="1"/>
    <col min="16128" max="16128" width="3.5546875" style="313" customWidth="1"/>
    <col min="16129" max="16129" width="29.6640625" style="313" bestFit="1" customWidth="1"/>
    <col min="16130" max="16139" width="12" style="313" customWidth="1"/>
    <col min="16140" max="16384" width="8.88671875" style="313"/>
  </cols>
  <sheetData>
    <row r="1" spans="2:13">
      <c r="C1" s="312" t="str">
        <f>'BS Lia'!C1</f>
        <v>SINGLA STEEL CORPORATION</v>
      </c>
      <c r="D1" s="312"/>
      <c r="E1" s="312"/>
      <c r="F1" s="312"/>
      <c r="G1" s="312"/>
      <c r="H1" s="312"/>
      <c r="I1" s="312"/>
      <c r="J1" s="312"/>
      <c r="K1" s="312"/>
    </row>
    <row r="2" spans="2:13">
      <c r="C2" s="312" t="str">
        <f>'BS Lia'!C2</f>
        <v>Notes to Financial Statements for the year ended 31.03.2025</v>
      </c>
    </row>
    <row r="3" spans="2:13">
      <c r="C3" s="312"/>
    </row>
    <row r="4" spans="2:13">
      <c r="B4" s="314">
        <f>BS!C31</f>
        <v>7</v>
      </c>
      <c r="C4" s="315" t="s">
        <v>214</v>
      </c>
      <c r="D4" s="316"/>
      <c r="E4" s="316"/>
      <c r="F4" s="316"/>
      <c r="G4" s="316"/>
      <c r="H4" s="316"/>
      <c r="I4" s="316"/>
      <c r="J4" s="316"/>
      <c r="K4" s="317"/>
    </row>
    <row r="5" spans="2:13" ht="26.25" customHeight="1">
      <c r="B5" s="318" t="s">
        <v>215</v>
      </c>
      <c r="C5" s="319" t="s">
        <v>97</v>
      </c>
      <c r="D5" s="320" t="s">
        <v>216</v>
      </c>
      <c r="E5" s="321" t="s">
        <v>217</v>
      </c>
      <c r="F5" s="321" t="s">
        <v>218</v>
      </c>
      <c r="G5" s="321" t="s">
        <v>219</v>
      </c>
      <c r="H5" s="322" t="s">
        <v>117</v>
      </c>
      <c r="I5" s="321" t="s">
        <v>220</v>
      </c>
      <c r="J5" s="321" t="s">
        <v>221</v>
      </c>
      <c r="K5" s="323" t="s">
        <v>222</v>
      </c>
    </row>
    <row r="6" spans="2:13" ht="26.25" customHeight="1">
      <c r="B6" s="318"/>
      <c r="C6" s="324"/>
      <c r="D6" s="325"/>
      <c r="E6" s="326"/>
      <c r="F6" s="326"/>
      <c r="G6" s="326"/>
      <c r="H6" s="327"/>
      <c r="I6" s="326"/>
      <c r="J6" s="326"/>
      <c r="K6" s="328"/>
    </row>
    <row r="7" spans="2:13" ht="26.25" customHeight="1">
      <c r="B7" s="318"/>
      <c r="C7" s="329"/>
      <c r="D7" s="330"/>
      <c r="E7" s="331"/>
      <c r="F7" s="331"/>
      <c r="G7" s="331"/>
      <c r="H7" s="332"/>
      <c r="I7" s="331"/>
      <c r="J7" s="331"/>
      <c r="K7" s="328"/>
    </row>
    <row r="8" spans="2:13" ht="24" customHeight="1">
      <c r="B8" s="333"/>
      <c r="C8" s="334"/>
      <c r="D8" s="335"/>
      <c r="E8" s="336"/>
      <c r="F8" s="335"/>
      <c r="G8" s="336"/>
      <c r="H8" s="337"/>
      <c r="I8" s="336"/>
      <c r="J8" s="336"/>
      <c r="K8" s="338"/>
    </row>
    <row r="9" spans="2:13">
      <c r="B9" s="339"/>
      <c r="C9" s="340" t="s">
        <v>223</v>
      </c>
      <c r="D9" s="316"/>
      <c r="E9" s="316"/>
      <c r="F9" s="316"/>
      <c r="G9" s="316"/>
      <c r="H9" s="341"/>
      <c r="I9" s="316"/>
      <c r="J9" s="316"/>
      <c r="K9" s="342"/>
    </row>
    <row r="10" spans="2:13">
      <c r="B10" s="343">
        <v>1</v>
      </c>
      <c r="C10" s="344" t="s">
        <v>224</v>
      </c>
      <c r="D10" s="345">
        <f>SUMIFS('[1]FAR 2025'!L:L,'[1]FAR 2025'!F:F,'FA NEW'!C10)</f>
        <v>19672</v>
      </c>
      <c r="E10" s="345">
        <f>SUMIFS('[1]FAR 2025'!M:M,'[1]FAR 2025'!F:F,'FA NEW'!C10,'[1]FAR 2025'!J:J,"&gt;180")</f>
        <v>0</v>
      </c>
      <c r="F10" s="345">
        <f>SUMIFS('[1]FAR 2025'!M:M,'[1]FAR 2025'!F:F,'FA NEW'!C10,'[1]FAR 2025'!J:J,"&lt;=180")</f>
        <v>0</v>
      </c>
      <c r="G10" s="345">
        <f>SUMIFS('[1]FAR 2025'!N:N,'[1]FAR 2025'!F:F,'FA NEW'!C10)</f>
        <v>0</v>
      </c>
      <c r="H10" s="346">
        <f>D10+E10+F10-G10</f>
        <v>19672</v>
      </c>
      <c r="I10" s="347">
        <v>0.1</v>
      </c>
      <c r="J10" s="345">
        <f>SUMIFS('[1]FAR 2025'!S:S,'[1]FAR 2025'!F:F,'FA NEW'!C47)</f>
        <v>1968</v>
      </c>
      <c r="K10" s="348">
        <f>H10-J10</f>
        <v>17704</v>
      </c>
      <c r="M10" s="313">
        <f>ROUND(D10*I10,0)-J10</f>
        <v>-1</v>
      </c>
    </row>
    <row r="11" spans="2:13">
      <c r="B11" s="343"/>
      <c r="C11" s="344"/>
      <c r="D11" s="345"/>
      <c r="E11" s="345"/>
      <c r="F11" s="345"/>
      <c r="G11" s="345"/>
      <c r="H11" s="346"/>
      <c r="I11" s="345"/>
      <c r="J11" s="345"/>
      <c r="K11" s="348"/>
    </row>
    <row r="12" spans="2:13">
      <c r="B12" s="343">
        <f>B10+1</f>
        <v>2</v>
      </c>
      <c r="C12" s="344" t="s">
        <v>225</v>
      </c>
      <c r="D12" s="345">
        <f>SUMIFS('[1]FAR 2025'!L:L,'[1]FAR 2025'!F:F,'FA NEW'!C12)</f>
        <v>308521</v>
      </c>
      <c r="E12" s="345">
        <f>SUMIFS('[1]FAR 2025'!M:M,'[1]FAR 2025'!F:F,'FA NEW'!C12,'[1]FAR 2025'!J:J,"&gt;180")</f>
        <v>0</v>
      </c>
      <c r="F12" s="345">
        <f>SUMIFS('[1]FAR 2025'!M:M,'[1]FAR 2025'!F:F,'FA NEW'!C12,'[1]FAR 2025'!J:J,"&lt;=180")</f>
        <v>2667.16</v>
      </c>
      <c r="G12" s="345">
        <f>SUMIFS('[1]FAR 2025'!N:N,'[1]FAR 2025'!F:F,'FA NEW'!C12)</f>
        <v>0</v>
      </c>
      <c r="H12" s="346">
        <f>D12+E12+F12-G12</f>
        <v>311188.15999999997</v>
      </c>
      <c r="I12" s="347">
        <v>0.15</v>
      </c>
      <c r="J12" s="345">
        <f>SUMIFS('[1]FAR 2025'!S:S,'[1]FAR 2025'!F:F,'FA NEW'!C49)</f>
        <v>46477.16</v>
      </c>
      <c r="K12" s="348">
        <f>H12-J12</f>
        <v>264711</v>
      </c>
      <c r="M12" s="313">
        <f>ROUND(D12*I12,0)-J12</f>
        <v>-199.16000000000349</v>
      </c>
    </row>
    <row r="13" spans="2:13">
      <c r="B13" s="343"/>
      <c r="C13" s="344"/>
      <c r="D13" s="345"/>
      <c r="E13" s="345"/>
      <c r="F13" s="345"/>
      <c r="G13" s="345"/>
      <c r="H13" s="346"/>
      <c r="I13" s="345"/>
      <c r="J13" s="345"/>
      <c r="K13" s="348"/>
    </row>
    <row r="14" spans="2:13" ht="12.75" customHeight="1">
      <c r="B14" s="343">
        <f>+B12+1</f>
        <v>3</v>
      </c>
      <c r="C14" s="344" t="s">
        <v>226</v>
      </c>
      <c r="D14" s="345">
        <f>SUMIFS('[1]FAR 2025'!L:L,'[1]FAR 2025'!F:F,'FA NEW'!C14)</f>
        <v>412182</v>
      </c>
      <c r="E14" s="345">
        <f>SUMIFS('[1]FAR 2025'!M:M,'[1]FAR 2025'!F:F,'FA NEW'!C14,'[1]FAR 2025'!J:J,"&gt;180")</f>
        <v>0</v>
      </c>
      <c r="F14" s="345">
        <f>SUMIFS('[1]FAR 2025'!M:M,'[1]FAR 2025'!F:F,'FA NEW'!C14,'[1]FAR 2025'!J:J,"&lt;=180")</f>
        <v>0</v>
      </c>
      <c r="G14" s="345">
        <f>SUMIFS('[1]FAR 2025'!N:N,'[1]FAR 2025'!F:F,'FA NEW'!C14)</f>
        <v>0</v>
      </c>
      <c r="H14" s="346">
        <f>D14+E14+F14-G14</f>
        <v>412182</v>
      </c>
      <c r="I14" s="347">
        <v>0.15</v>
      </c>
      <c r="J14" s="345">
        <f>SUMIFS('[1]FAR 2025'!S:S,'[1]FAR 2025'!F:F,'FA NEW'!C51)</f>
        <v>61827</v>
      </c>
      <c r="K14" s="348">
        <f>H14-J14</f>
        <v>350355</v>
      </c>
      <c r="M14" s="313">
        <f>ROUND(D14*I14,0)-J14</f>
        <v>0</v>
      </c>
    </row>
    <row r="15" spans="2:13" ht="12.75" customHeight="1">
      <c r="B15" s="343"/>
      <c r="C15" s="344"/>
      <c r="D15" s="345"/>
      <c r="E15" s="345"/>
      <c r="F15" s="345"/>
      <c r="G15" s="345"/>
      <c r="H15" s="346"/>
      <c r="I15" s="345"/>
      <c r="J15" s="345"/>
      <c r="K15" s="348"/>
    </row>
    <row r="16" spans="2:13" ht="12.75" customHeight="1">
      <c r="B16" s="343">
        <f>+B14+1</f>
        <v>4</v>
      </c>
      <c r="C16" s="344" t="s">
        <v>227</v>
      </c>
      <c r="D16" s="345">
        <f>SUMIFS('[1]FAR 2025'!L:L,'[1]FAR 2025'!F:F,'FA NEW'!C16)</f>
        <v>1090</v>
      </c>
      <c r="E16" s="345">
        <f>SUMIFS('[1]FAR 2025'!M:M,'[1]FAR 2025'!F:F,'FA NEW'!C16,'[1]FAR 2025'!J:J,"&gt;180")</f>
        <v>0</v>
      </c>
      <c r="F16" s="345">
        <f>SUMIFS('[1]FAR 2025'!M:M,'[1]FAR 2025'!F:F,'FA NEW'!C16,'[1]FAR 2025'!J:J,"&lt;=180")</f>
        <v>0</v>
      </c>
      <c r="G16" s="345">
        <f>SUMIFS('[1]FAR 2025'!N:N,'[1]FAR 2025'!F:F,'FA NEW'!C16)</f>
        <v>0</v>
      </c>
      <c r="H16" s="346">
        <f>D16+E16+F16-G16</f>
        <v>1090</v>
      </c>
      <c r="I16" s="347">
        <v>0.4</v>
      </c>
      <c r="J16" s="345">
        <f>SUMIFS('[1]FAR 2025'!S:S,'[1]FAR 2025'!F:F,'FA NEW'!C53)</f>
        <v>436</v>
      </c>
      <c r="K16" s="348">
        <f>H16-J16</f>
        <v>654</v>
      </c>
      <c r="M16" s="313">
        <f>ROUND(D16*I16,0)-J16</f>
        <v>0</v>
      </c>
    </row>
    <row r="17" spans="2:14" ht="12.75" customHeight="1">
      <c r="B17" s="343"/>
      <c r="C17" s="344"/>
      <c r="D17" s="345"/>
      <c r="E17" s="345"/>
      <c r="F17" s="345"/>
      <c r="G17" s="345"/>
      <c r="H17" s="346"/>
      <c r="I17" s="345"/>
      <c r="J17" s="345"/>
      <c r="K17" s="348"/>
    </row>
    <row r="18" spans="2:14" ht="12.75" customHeight="1">
      <c r="B18" s="343">
        <f>B16+1</f>
        <v>5</v>
      </c>
      <c r="C18" s="344" t="s">
        <v>228</v>
      </c>
      <c r="D18" s="345">
        <f>SUMIFS('[1]FAR 2025'!L:L,'[1]FAR 2025'!F:F,'FA NEW'!C18)</f>
        <v>426592</v>
      </c>
      <c r="E18" s="345">
        <f>SUMIFS('[1]FAR 2025'!M:M,'[1]FAR 2025'!F:F,'FA NEW'!C18,'[1]FAR 2025'!J:J,"&gt;180")</f>
        <v>0</v>
      </c>
      <c r="F18" s="345">
        <f>SUMIFS('[1]FAR 2025'!M:M,'[1]FAR 2025'!F:F,'FA NEW'!C18,'[1]FAR 2025'!J:J,"&lt;=180")</f>
        <v>0</v>
      </c>
      <c r="G18" s="345">
        <f>SUMIFS('[1]FAR 2025'!N:N,'[1]FAR 2025'!F:F,'FA NEW'!C18)</f>
        <v>0</v>
      </c>
      <c r="H18" s="346">
        <f>D18+E18+F18-G18</f>
        <v>426592</v>
      </c>
      <c r="I18" s="347">
        <v>0.15</v>
      </c>
      <c r="J18" s="345">
        <f>SUMIFS('[1]FAR 2025'!S:S,'[1]FAR 2025'!F:F,'FA NEW'!C55)</f>
        <v>63989</v>
      </c>
      <c r="K18" s="348">
        <f>H18-J18</f>
        <v>362603</v>
      </c>
      <c r="M18" s="313">
        <f>ROUND(D18*I18,0)-J18</f>
        <v>0</v>
      </c>
    </row>
    <row r="19" spans="2:14" ht="12.75" customHeight="1">
      <c r="B19" s="343"/>
      <c r="C19" s="344"/>
      <c r="D19" s="345"/>
      <c r="E19" s="345"/>
      <c r="F19" s="345"/>
      <c r="G19" s="345"/>
      <c r="H19" s="346"/>
      <c r="I19" s="345"/>
      <c r="J19" s="345"/>
      <c r="K19" s="348"/>
    </row>
    <row r="20" spans="2:14" hidden="1">
      <c r="B20" s="343">
        <f>B18+1</f>
        <v>6</v>
      </c>
      <c r="C20" s="344"/>
      <c r="D20" s="345">
        <f>K57</f>
        <v>0</v>
      </c>
      <c r="E20" s="345"/>
      <c r="F20" s="345"/>
      <c r="G20" s="345"/>
      <c r="H20" s="346">
        <f>D20+E20+F20-G20</f>
        <v>0</v>
      </c>
      <c r="I20" s="347">
        <v>0.4</v>
      </c>
      <c r="J20" s="345">
        <f>SUMIFS('[1]FAR 2025'!S:S,'[1]FAR 2025'!F:F,'FA NEW'!C57)</f>
        <v>0</v>
      </c>
      <c r="K20" s="348">
        <f>H20-J20</f>
        <v>0</v>
      </c>
    </row>
    <row r="21" spans="2:14" hidden="1">
      <c r="B21" s="343"/>
      <c r="C21" s="344"/>
      <c r="D21" s="345"/>
      <c r="E21" s="345"/>
      <c r="F21" s="345"/>
      <c r="G21" s="345"/>
      <c r="H21" s="346"/>
      <c r="I21" s="345"/>
      <c r="J21" s="345"/>
      <c r="K21" s="348"/>
    </row>
    <row r="22" spans="2:14" ht="13.8" thickBot="1">
      <c r="B22" s="343"/>
      <c r="C22" s="349" t="s">
        <v>117</v>
      </c>
      <c r="D22" s="350">
        <f>SUM(D10:D21)</f>
        <v>1168057</v>
      </c>
      <c r="E22" s="350">
        <f t="shared" ref="E22:K22" si="0">SUM(E10:E21)</f>
        <v>0</v>
      </c>
      <c r="F22" s="350">
        <f t="shared" si="0"/>
        <v>2667.16</v>
      </c>
      <c r="G22" s="350"/>
      <c r="H22" s="351">
        <f t="shared" si="0"/>
        <v>1170724.1599999999</v>
      </c>
      <c r="I22" s="350"/>
      <c r="J22" s="350">
        <f t="shared" si="0"/>
        <v>174697.16</v>
      </c>
      <c r="K22" s="352">
        <f t="shared" si="0"/>
        <v>996027</v>
      </c>
      <c r="M22" s="313">
        <v>1169667.1599999999</v>
      </c>
      <c r="N22" s="313">
        <f>H22-M22</f>
        <v>1057</v>
      </c>
    </row>
    <row r="23" spans="2:14" ht="13.8" hidden="1" thickTop="1">
      <c r="B23" s="343"/>
      <c r="C23" s="344"/>
      <c r="D23" s="353"/>
      <c r="E23" s="354"/>
      <c r="F23" s="354"/>
      <c r="G23" s="354"/>
      <c r="H23" s="355"/>
      <c r="I23" s="354"/>
      <c r="J23" s="354"/>
      <c r="K23" s="356"/>
    </row>
    <row r="24" spans="2:14" ht="13.8" hidden="1" thickTop="1">
      <c r="B24" s="339"/>
      <c r="C24" s="340" t="s">
        <v>229</v>
      </c>
      <c r="D24" s="316"/>
      <c r="E24" s="316"/>
      <c r="F24" s="316"/>
      <c r="G24" s="316"/>
      <c r="H24" s="341"/>
      <c r="I24" s="316"/>
      <c r="J24" s="316"/>
      <c r="K24" s="342"/>
    </row>
    <row r="25" spans="2:14" ht="13.8" hidden="1" thickTop="1">
      <c r="B25" s="343">
        <v>1</v>
      </c>
      <c r="C25" s="344" t="s">
        <v>230</v>
      </c>
      <c r="D25" s="345"/>
      <c r="E25" s="345"/>
      <c r="F25" s="345"/>
      <c r="G25" s="345"/>
      <c r="H25" s="346">
        <f>+D25+E25-F25-G25</f>
        <v>0</v>
      </c>
      <c r="I25" s="345"/>
      <c r="J25" s="345"/>
      <c r="K25" s="348">
        <f>H25-J25</f>
        <v>0</v>
      </c>
    </row>
    <row r="26" spans="2:14" ht="13.8" hidden="1" thickTop="1">
      <c r="B26" s="343"/>
      <c r="C26" s="344"/>
      <c r="D26" s="345"/>
      <c r="E26" s="345"/>
      <c r="F26" s="345"/>
      <c r="G26" s="345"/>
      <c r="H26" s="346"/>
      <c r="I26" s="345"/>
      <c r="J26" s="345"/>
      <c r="K26" s="348"/>
    </row>
    <row r="27" spans="2:14" ht="13.8" hidden="1" thickTop="1">
      <c r="B27" s="343">
        <f>B25+1</f>
        <v>2</v>
      </c>
      <c r="C27" s="344" t="s">
        <v>231</v>
      </c>
      <c r="D27" s="345"/>
      <c r="E27" s="345"/>
      <c r="F27" s="345"/>
      <c r="G27" s="345"/>
      <c r="H27" s="346">
        <f>+D27+E27-F27-G27</f>
        <v>0</v>
      </c>
      <c r="I27" s="345"/>
      <c r="J27" s="345"/>
      <c r="K27" s="348">
        <f>H27-J27</f>
        <v>0</v>
      </c>
    </row>
    <row r="28" spans="2:14" ht="13.8" hidden="1" thickTop="1">
      <c r="B28" s="343"/>
      <c r="C28" s="344"/>
      <c r="D28" s="357"/>
      <c r="E28" s="357"/>
      <c r="F28" s="357"/>
      <c r="G28" s="357"/>
      <c r="H28" s="358"/>
      <c r="I28" s="357"/>
      <c r="J28" s="357"/>
      <c r="K28" s="359"/>
    </row>
    <row r="29" spans="2:14" ht="12.75" hidden="1" customHeight="1">
      <c r="B29" s="360"/>
      <c r="C29" s="361" t="s">
        <v>232</v>
      </c>
      <c r="D29" s="362">
        <f>-D59</f>
        <v>-759835</v>
      </c>
      <c r="E29" s="362">
        <f>-E59</f>
        <v>-499090.65</v>
      </c>
      <c r="F29" s="362">
        <f>-F59</f>
        <v>-105221.88</v>
      </c>
      <c r="G29" s="362">
        <f>-G59</f>
        <v>0</v>
      </c>
      <c r="H29" s="363">
        <f>-H59</f>
        <v>-1364147.53</v>
      </c>
      <c r="I29" s="362"/>
      <c r="J29" s="362">
        <f>-J59</f>
        <v>-196090.52999999997</v>
      </c>
      <c r="K29" s="364">
        <f>-K59</f>
        <v>-1168057</v>
      </c>
    </row>
    <row r="30" spans="2:14" ht="13.8" thickTop="1">
      <c r="B30" s="365"/>
      <c r="C30" s="366"/>
      <c r="D30" s="367"/>
      <c r="E30" s="367"/>
      <c r="F30" s="367"/>
      <c r="G30" s="367"/>
      <c r="H30" s="367"/>
      <c r="I30" s="367"/>
      <c r="J30" s="367"/>
      <c r="K30" s="367"/>
    </row>
    <row r="31" spans="2:14">
      <c r="B31" s="365"/>
      <c r="C31" s="366"/>
      <c r="D31" s="367"/>
      <c r="E31" s="367"/>
      <c r="F31" s="367"/>
      <c r="G31" s="367"/>
      <c r="H31" s="367"/>
      <c r="I31" s="367"/>
      <c r="J31" s="367"/>
      <c r="K31" s="367"/>
    </row>
    <row r="32" spans="2:14">
      <c r="B32" s="365"/>
      <c r="C32" s="366"/>
      <c r="D32" s="367"/>
      <c r="E32" s="367"/>
      <c r="F32" s="367"/>
      <c r="G32" s="367"/>
      <c r="H32" s="367"/>
      <c r="I32" s="367"/>
      <c r="J32" s="367"/>
      <c r="K32" s="367"/>
    </row>
    <row r="33" spans="1:14">
      <c r="B33" s="365"/>
      <c r="C33" s="366"/>
      <c r="D33" s="367"/>
      <c r="E33" s="367"/>
      <c r="F33" s="367"/>
      <c r="G33" s="367"/>
      <c r="H33" s="367"/>
      <c r="I33" s="367"/>
      <c r="J33" s="367"/>
      <c r="K33" s="367"/>
    </row>
    <row r="34" spans="1:14">
      <c r="B34" s="365"/>
      <c r="C34" s="366"/>
      <c r="D34" s="367"/>
      <c r="E34" s="367"/>
      <c r="F34" s="367"/>
      <c r="G34" s="367"/>
      <c r="H34" s="367"/>
      <c r="I34" s="367"/>
      <c r="J34" s="367"/>
      <c r="K34" s="367"/>
    </row>
    <row r="36" spans="1:14">
      <c r="B36" s="368"/>
      <c r="C36" s="368" t="str">
        <f>'BS Lia'!C122</f>
        <v>(CA. KESHAV GUPTA)</v>
      </c>
      <c r="D36" s="368"/>
      <c r="E36" s="368"/>
      <c r="F36" s="368"/>
      <c r="H36" s="312" t="str">
        <f>'BS Lia'!E122</f>
        <v>ASHWANI KUMAR SINGLA</v>
      </c>
      <c r="J36" s="312"/>
      <c r="K36" s="369"/>
    </row>
    <row r="37" spans="1:14">
      <c r="B37" s="368"/>
      <c r="C37" s="368" t="str">
        <f>'BS Lia'!C123</f>
        <v>AUDITOR</v>
      </c>
      <c r="D37" s="368"/>
      <c r="E37" s="368"/>
      <c r="F37" s="368"/>
      <c r="H37" s="312" t="str">
        <f>'BS Lia'!E123</f>
        <v>PROPRIETOR</v>
      </c>
      <c r="J37" s="312"/>
      <c r="K37" s="369"/>
    </row>
    <row r="38" spans="1:14">
      <c r="C38" s="368"/>
      <c r="H38" s="369"/>
      <c r="J38" s="312"/>
      <c r="K38" s="370"/>
    </row>
    <row r="39" spans="1:14">
      <c r="C39" s="312"/>
    </row>
    <row r="40" spans="1:14">
      <c r="C40" s="312"/>
    </row>
    <row r="41" spans="1:14">
      <c r="B41" s="314">
        <f>BS!C31</f>
        <v>7</v>
      </c>
      <c r="C41" s="315" t="s">
        <v>214</v>
      </c>
      <c r="D41" s="316"/>
      <c r="E41" s="316"/>
      <c r="F41" s="316"/>
      <c r="G41" s="316"/>
      <c r="H41" s="316"/>
      <c r="I41" s="316"/>
      <c r="J41" s="316"/>
      <c r="K41" s="316"/>
    </row>
    <row r="42" spans="1:14" s="372" customFormat="1" ht="30.6" customHeight="1">
      <c r="A42" s="371"/>
      <c r="B42" s="318" t="s">
        <v>215</v>
      </c>
      <c r="C42" s="319" t="s">
        <v>97</v>
      </c>
      <c r="D42" s="320" t="s">
        <v>233</v>
      </c>
      <c r="E42" s="321" t="s">
        <v>217</v>
      </c>
      <c r="F42" s="321" t="s">
        <v>218</v>
      </c>
      <c r="G42" s="321" t="s">
        <v>219</v>
      </c>
      <c r="H42" s="322">
        <f>H91</f>
        <v>0</v>
      </c>
      <c r="I42" s="321" t="s">
        <v>220</v>
      </c>
      <c r="J42" s="321" t="s">
        <v>221</v>
      </c>
      <c r="K42" s="323" t="s">
        <v>234</v>
      </c>
    </row>
    <row r="43" spans="1:14" s="316" customFormat="1" ht="30.6" customHeight="1">
      <c r="A43" s="341"/>
      <c r="B43" s="318"/>
      <c r="C43" s="324"/>
      <c r="D43" s="325"/>
      <c r="E43" s="326"/>
      <c r="F43" s="326"/>
      <c r="G43" s="326"/>
      <c r="H43" s="327"/>
      <c r="I43" s="326"/>
      <c r="J43" s="326"/>
      <c r="K43" s="328"/>
    </row>
    <row r="44" spans="1:14" s="316" customFormat="1" ht="30.6" customHeight="1">
      <c r="A44" s="341"/>
      <c r="B44" s="318"/>
      <c r="C44" s="329"/>
      <c r="D44" s="330"/>
      <c r="E44" s="331"/>
      <c r="F44" s="331"/>
      <c r="G44" s="331"/>
      <c r="H44" s="332"/>
      <c r="I44" s="331"/>
      <c r="J44" s="331"/>
      <c r="K44" s="328"/>
    </row>
    <row r="45" spans="1:14" s="316" customFormat="1" ht="22.5" customHeight="1">
      <c r="A45" s="341"/>
      <c r="B45" s="333"/>
      <c r="C45" s="334"/>
      <c r="D45" s="335"/>
      <c r="E45" s="336"/>
      <c r="F45" s="335"/>
      <c r="G45" s="336"/>
      <c r="H45" s="337"/>
      <c r="I45" s="336"/>
      <c r="J45" s="336"/>
      <c r="K45" s="338"/>
    </row>
    <row r="46" spans="1:14" s="316" customFormat="1">
      <c r="A46" s="341"/>
      <c r="B46" s="339"/>
      <c r="C46" s="340" t="s">
        <v>223</v>
      </c>
      <c r="H46" s="341"/>
      <c r="K46" s="342"/>
    </row>
    <row r="47" spans="1:14">
      <c r="A47" s="373" t="s">
        <v>235</v>
      </c>
      <c r="B47" s="343">
        <v>1</v>
      </c>
      <c r="C47" s="344" t="s">
        <v>224</v>
      </c>
      <c r="D47" s="345">
        <f>SUMIFS('[1]FAR 2024'!L:L,'[1]FAR 2024'!F:F,'FA NEW'!C47)</f>
        <v>21857</v>
      </c>
      <c r="E47" s="345">
        <f>SUMIFS('[1]FAR 2024'!M:M,'[1]FAR 2024'!F:F,'FA NEW'!C47,'[1]FAR 2024'!J:J,"&gt;180")</f>
        <v>0</v>
      </c>
      <c r="F47" s="345">
        <f>SUMIFS('[1]FAR 2024'!M:M,'[1]FAR 2024'!F:F,'FA NEW'!C47,'[1]FAR 2024'!J:J,"&lt;=180")</f>
        <v>0</v>
      </c>
      <c r="G47" s="345">
        <f>SUMIFS('[1]FAR 2024'!N:N,'[1]FAR 2024'!F:F,'FA NEW'!C47)</f>
        <v>0</v>
      </c>
      <c r="H47" s="346">
        <f>+D47+E47+F47-G47</f>
        <v>21857</v>
      </c>
      <c r="I47" s="347">
        <v>0.1</v>
      </c>
      <c r="J47" s="345">
        <f>SUMIFS('[1]FAR 2024'!S:S,'[1]FAR 2024'!F:F,'FA NEW'!C47)</f>
        <v>2185</v>
      </c>
      <c r="K47" s="348">
        <f>H47-J47</f>
        <v>19672</v>
      </c>
      <c r="M47" s="100">
        <v>2185</v>
      </c>
      <c r="N47" s="100">
        <f>J47-M47</f>
        <v>0</v>
      </c>
    </row>
    <row r="48" spans="1:14" s="372" customFormat="1">
      <c r="A48" s="371"/>
      <c r="B48" s="343"/>
      <c r="C48" s="344"/>
      <c r="D48" s="345"/>
      <c r="E48" s="345"/>
      <c r="F48" s="345"/>
      <c r="G48" s="345"/>
      <c r="H48" s="346"/>
      <c r="I48" s="345"/>
      <c r="J48" s="345"/>
      <c r="K48" s="348"/>
      <c r="M48" s="374"/>
      <c r="N48" s="374"/>
    </row>
    <row r="49" spans="1:14" s="372" customFormat="1">
      <c r="A49" s="371"/>
      <c r="B49" s="343">
        <f>B47+1</f>
        <v>2</v>
      </c>
      <c r="C49" s="344" t="s">
        <v>225</v>
      </c>
      <c r="D49" s="345">
        <f>SUMIFS('[1]FAR 2024'!L:L,'[1]FAR 2024'!F:F,'FA NEW'!C49)</f>
        <v>237887</v>
      </c>
      <c r="E49" s="345">
        <f>SUMIFS('[1]FAR 2024'!M:M,'[1]FAR 2024'!F:F,'FA NEW'!C49,'[1]FAR 2024'!J:J,"&gt;180")</f>
        <v>99090.650000000009</v>
      </c>
      <c r="F49" s="345">
        <f>SUMIFS('[1]FAR 2024'!M:M,'[1]FAR 2024'!F:F,'FA NEW'!C49,'[1]FAR 2024'!J:J,"&lt;=180")</f>
        <v>23881.24</v>
      </c>
      <c r="G49" s="345">
        <f>SUMIFS('[1]FAR 2024'!N:N,'[1]FAR 2024'!F:F,'FA NEW'!C49)</f>
        <v>0</v>
      </c>
      <c r="H49" s="346">
        <f>+D49+E49+F49-G49</f>
        <v>360858.89</v>
      </c>
      <c r="I49" s="347">
        <v>0.15</v>
      </c>
      <c r="J49" s="345">
        <f>SUMIFS('[1]FAR 2024'!S:S,'[1]FAR 2024'!F:F,'FA NEW'!C49)</f>
        <v>52337.889999999992</v>
      </c>
      <c r="K49" s="348">
        <f>H49-J49</f>
        <v>308521</v>
      </c>
      <c r="M49" s="374">
        <v>52337.89</v>
      </c>
      <c r="N49" s="100">
        <f>J49-M49</f>
        <v>0</v>
      </c>
    </row>
    <row r="50" spans="1:14" s="372" customFormat="1">
      <c r="A50" s="371"/>
      <c r="B50" s="343"/>
      <c r="C50" s="344"/>
      <c r="D50" s="345"/>
      <c r="E50" s="345"/>
      <c r="F50" s="345"/>
      <c r="G50" s="345"/>
      <c r="H50" s="346"/>
      <c r="I50" s="345"/>
      <c r="J50" s="345"/>
      <c r="K50" s="348"/>
      <c r="L50" s="372" t="s">
        <v>236</v>
      </c>
      <c r="M50" s="374"/>
      <c r="N50" s="100"/>
    </row>
    <row r="51" spans="1:14" s="372" customFormat="1">
      <c r="A51" s="371"/>
      <c r="B51" s="343">
        <f>+B49+1</f>
        <v>3</v>
      </c>
      <c r="C51" s="344" t="s">
        <v>226</v>
      </c>
      <c r="D51" s="345">
        <f>SUMIFS('[1]FAR 2024'!L:L,'[1]FAR 2024'!F:F,'FA NEW'!C51)</f>
        <v>84920</v>
      </c>
      <c r="E51" s="345">
        <f>SUMIFS('[1]FAR 2024'!M:M,'[1]FAR 2024'!F:F,'FA NEW'!C51,'[1]FAR 2024'!J:J,"&gt;180")</f>
        <v>400000</v>
      </c>
      <c r="F51" s="345">
        <f>SUMIFS('[1]FAR 2024'!M:M,'[1]FAR 2024'!F:F,'FA NEW'!C51,'[1]FAR 2024'!J:J,"&lt;=180")</f>
        <v>0</v>
      </c>
      <c r="G51" s="345">
        <f>SUMIFS('[1]FAR 2024'!N:N,'[1]FAR 2024'!F:F,'FA NEW'!C51)</f>
        <v>0</v>
      </c>
      <c r="H51" s="346">
        <f>+D51+E51+F51-G51</f>
        <v>484920</v>
      </c>
      <c r="I51" s="347">
        <v>0.15</v>
      </c>
      <c r="J51" s="345">
        <f>SUMIFS('[1]FAR 2024'!S:S,'[1]FAR 2024'!F:F,'FA NEW'!C51)</f>
        <v>72738</v>
      </c>
      <c r="K51" s="348">
        <f>H51-J51</f>
        <v>412182</v>
      </c>
      <c r="M51" s="374">
        <v>72738</v>
      </c>
      <c r="N51" s="100">
        <f>J51-M51</f>
        <v>0</v>
      </c>
    </row>
    <row r="52" spans="1:14" s="372" customFormat="1">
      <c r="A52" s="371"/>
      <c r="B52" s="343"/>
      <c r="C52" s="344"/>
      <c r="D52" s="345"/>
      <c r="E52" s="345"/>
      <c r="F52" s="345"/>
      <c r="G52" s="345"/>
      <c r="H52" s="346"/>
      <c r="I52" s="345"/>
      <c r="J52" s="345"/>
      <c r="K52" s="348"/>
      <c r="M52" s="374"/>
      <c r="N52" s="374"/>
    </row>
    <row r="53" spans="1:14" s="372" customFormat="1">
      <c r="A53" s="371"/>
      <c r="B53" s="343">
        <f>B51+1</f>
        <v>4</v>
      </c>
      <c r="C53" s="344" t="s">
        <v>227</v>
      </c>
      <c r="D53" s="345">
        <f>SUMIFS('[1]FAR 2024'!L:L,'[1]FAR 2024'!F:F,'FA NEW'!C53)</f>
        <v>1816</v>
      </c>
      <c r="E53" s="345">
        <f>SUMIFS('[1]FAR 2024'!M:M,'[1]FAR 2024'!F:F,'FA NEW'!C53,'[1]FAR 2024'!J:J,"&gt;180")</f>
        <v>0</v>
      </c>
      <c r="F53" s="345">
        <f>SUMIFS('[1]FAR 2024'!M:M,'[1]FAR 2024'!F:F,'FA NEW'!C53,'[1]FAR 2024'!J:J,"&lt;=180")</f>
        <v>0</v>
      </c>
      <c r="G53" s="345">
        <f>SUMIFS('[1]FAR 2024'!N:N,'[1]FAR 2024'!F:F,'FA NEW'!C53)</f>
        <v>0</v>
      </c>
      <c r="H53" s="346">
        <f>+D53+E53+F53-G53</f>
        <v>1816</v>
      </c>
      <c r="I53" s="347">
        <v>0.4</v>
      </c>
      <c r="J53" s="345">
        <f>SUMIFS('[1]FAR 2024'!S:S,'[1]FAR 2024'!F:F,'FA NEW'!C53)</f>
        <v>726</v>
      </c>
      <c r="K53" s="348">
        <f>H53-J53</f>
        <v>1090</v>
      </c>
      <c r="M53" s="374">
        <v>726</v>
      </c>
      <c r="N53" s="100">
        <f>J53-M53</f>
        <v>0</v>
      </c>
    </row>
    <row r="54" spans="1:14" s="372" customFormat="1">
      <c r="A54" s="371"/>
      <c r="B54" s="343"/>
      <c r="C54" s="344"/>
      <c r="D54" s="345"/>
      <c r="E54" s="345"/>
      <c r="F54" s="345"/>
      <c r="G54" s="345"/>
      <c r="H54" s="346"/>
      <c r="I54" s="345"/>
      <c r="J54" s="345"/>
      <c r="K54" s="348"/>
      <c r="M54" s="374"/>
      <c r="N54" s="374"/>
    </row>
    <row r="55" spans="1:14" s="372" customFormat="1">
      <c r="A55" s="371"/>
      <c r="B55" s="343">
        <v>5</v>
      </c>
      <c r="C55" s="344" t="s">
        <v>228</v>
      </c>
      <c r="D55" s="345">
        <f>SUMIFS('[1]FAR 2024'!L:L,'[1]FAR 2024'!F:F,'FA NEW'!C55)</f>
        <v>413355</v>
      </c>
      <c r="E55" s="345">
        <f>SUMIFS('[1]FAR 2024'!M:M,'[1]FAR 2024'!F:F,'FA NEW'!C55,'[1]FAR 2024'!J:J,"&gt;180")</f>
        <v>0</v>
      </c>
      <c r="F55" s="345">
        <f>SUMIFS('[1]FAR 2024'!M:M,'[1]FAR 2024'!F:F,'FA NEW'!C55,'[1]FAR 2024'!J:J,"&lt;=180")</f>
        <v>81340.639999999999</v>
      </c>
      <c r="G55" s="345">
        <f>SUMIFS('[1]FAR 2024'!N:N,'[1]FAR 2024'!F:F,'FA NEW'!C55)</f>
        <v>0</v>
      </c>
      <c r="H55" s="346">
        <f>+D55+E55+F55-G55</f>
        <v>494695.64</v>
      </c>
      <c r="I55" s="347">
        <v>0.15</v>
      </c>
      <c r="J55" s="345">
        <f>SUMIFS('[1]FAR 2024'!S:S,'[1]FAR 2024'!F:F,'FA NEW'!C55)</f>
        <v>68103.64</v>
      </c>
      <c r="K55" s="348">
        <f>H55-J55</f>
        <v>426592</v>
      </c>
      <c r="M55" s="374">
        <v>68103.64</v>
      </c>
      <c r="N55" s="100">
        <f>J55-M55</f>
        <v>0</v>
      </c>
    </row>
    <row r="56" spans="1:14" s="372" customFormat="1">
      <c r="A56" s="371"/>
      <c r="B56" s="343"/>
      <c r="C56" s="344"/>
      <c r="D56" s="345"/>
      <c r="E56" s="345"/>
      <c r="F56" s="345"/>
      <c r="G56" s="345"/>
      <c r="H56" s="346"/>
      <c r="I56" s="345"/>
      <c r="J56" s="345"/>
      <c r="K56" s="348"/>
      <c r="M56" s="374"/>
      <c r="N56" s="374"/>
    </row>
    <row r="57" spans="1:14" s="372" customFormat="1">
      <c r="A57" s="371"/>
      <c r="B57" s="343">
        <f>+B55+1</f>
        <v>6</v>
      </c>
      <c r="C57" s="344"/>
      <c r="D57" s="345">
        <f>SUMIFS('[1]FAR 2024'!L:L,'[1]FAR 2024'!F:F,'FA NEW'!C57)</f>
        <v>0</v>
      </c>
      <c r="E57" s="345">
        <f>SUMIFS('[1]FAR 2024'!M:M,'[1]FAR 2024'!F:F,'FA NEW'!C57,'[1]FAR 2024'!J:J,"&gt;180")</f>
        <v>0</v>
      </c>
      <c r="F57" s="345">
        <f>SUMIFS('[1]FAR 2024'!M:M,'[1]FAR 2024'!F:F,'FA NEW'!C57,'[1]FAR 2024'!J:J,"&lt;=180")</f>
        <v>0</v>
      </c>
      <c r="G57" s="345">
        <f>SUMIFS('[1]FAR 2024'!N:N,'[1]FAR 2024'!F:F,'FA NEW'!C57)</f>
        <v>0</v>
      </c>
      <c r="H57" s="346">
        <f>+D57+E57+F57-G57</f>
        <v>0</v>
      </c>
      <c r="I57" s="347">
        <v>0.4</v>
      </c>
      <c r="J57" s="345">
        <f>ROUND((((D57-G57+E57)*I57)+((F57/2)*I57)),0)</f>
        <v>0</v>
      </c>
      <c r="K57" s="348">
        <f>H57-J57</f>
        <v>0</v>
      </c>
      <c r="M57" s="374"/>
      <c r="N57" s="100"/>
    </row>
    <row r="58" spans="1:14" s="372" customFormat="1">
      <c r="A58" s="371"/>
      <c r="B58" s="343"/>
      <c r="C58" s="344"/>
      <c r="D58" s="345"/>
      <c r="E58" s="345"/>
      <c r="F58" s="345"/>
      <c r="G58" s="345"/>
      <c r="H58" s="346"/>
      <c r="I58" s="345"/>
      <c r="J58" s="345"/>
      <c r="K58" s="348"/>
      <c r="M58" s="374">
        <v>196090.53</v>
      </c>
      <c r="N58" s="374">
        <f>J59-M58</f>
        <v>0</v>
      </c>
    </row>
    <row r="59" spans="1:14" s="372" customFormat="1" ht="13.8" thickBot="1">
      <c r="A59" s="371"/>
      <c r="B59" s="343"/>
      <c r="C59" s="349" t="s">
        <v>117</v>
      </c>
      <c r="D59" s="350">
        <f>SUM(D47:D58)</f>
        <v>759835</v>
      </c>
      <c r="E59" s="350">
        <f t="shared" ref="E59:K59" si="1">SUM(E47:E58)</f>
        <v>499090.65</v>
      </c>
      <c r="F59" s="350">
        <f t="shared" si="1"/>
        <v>105221.88</v>
      </c>
      <c r="G59" s="350">
        <f t="shared" si="1"/>
        <v>0</v>
      </c>
      <c r="H59" s="351">
        <f t="shared" si="1"/>
        <v>1364147.53</v>
      </c>
      <c r="I59" s="350"/>
      <c r="J59" s="350">
        <f t="shared" si="1"/>
        <v>196090.52999999997</v>
      </c>
      <c r="K59" s="352">
        <f t="shared" si="1"/>
        <v>1168057</v>
      </c>
      <c r="M59" s="374">
        <f>'[1]FAR 2024'!S53</f>
        <v>196090.52999999997</v>
      </c>
      <c r="N59" s="374">
        <f>J59-M59</f>
        <v>0</v>
      </c>
    </row>
    <row r="60" spans="1:14" s="372" customFormat="1" ht="13.8" thickTop="1">
      <c r="A60" s="371"/>
      <c r="B60" s="343"/>
      <c r="C60" s="344"/>
      <c r="D60" s="353"/>
      <c r="E60" s="345"/>
      <c r="F60" s="345"/>
      <c r="G60" s="345"/>
      <c r="H60" s="346"/>
      <c r="I60" s="345"/>
      <c r="J60" s="345"/>
      <c r="K60" s="356"/>
    </row>
    <row r="61" spans="1:14" s="372" customFormat="1">
      <c r="B61" s="339"/>
      <c r="C61" s="340" t="s">
        <v>229</v>
      </c>
      <c r="D61" s="316"/>
      <c r="E61" s="316"/>
      <c r="F61" s="316"/>
      <c r="G61" s="316"/>
      <c r="H61" s="341"/>
      <c r="I61" s="375"/>
      <c r="J61" s="341"/>
      <c r="K61" s="342"/>
    </row>
    <row r="62" spans="1:14" s="372" customFormat="1">
      <c r="B62" s="343">
        <v>1</v>
      </c>
      <c r="C62" s="344" t="s">
        <v>230</v>
      </c>
      <c r="D62" s="345"/>
      <c r="E62" s="345"/>
      <c r="F62" s="345"/>
      <c r="G62" s="345"/>
      <c r="H62" s="346">
        <f>+D62+E62-F62</f>
        <v>0</v>
      </c>
      <c r="I62" s="345"/>
      <c r="J62" s="345"/>
      <c r="K62" s="348"/>
    </row>
    <row r="63" spans="1:14" s="372" customFormat="1">
      <c r="B63" s="343"/>
      <c r="C63" s="344"/>
      <c r="D63" s="345"/>
      <c r="E63" s="345"/>
      <c r="F63" s="345"/>
      <c r="G63" s="345"/>
      <c r="H63" s="346"/>
      <c r="I63" s="345"/>
      <c r="J63" s="345"/>
      <c r="K63" s="348"/>
    </row>
    <row r="64" spans="1:14" s="372" customFormat="1">
      <c r="B64" s="343">
        <f>B62+1</f>
        <v>2</v>
      </c>
      <c r="C64" s="344" t="s">
        <v>231</v>
      </c>
      <c r="D64" s="345"/>
      <c r="E64" s="345"/>
      <c r="F64" s="345"/>
      <c r="G64" s="345"/>
      <c r="H64" s="346">
        <f t="shared" ref="H64" si="2">+D64+E64-F64</f>
        <v>0</v>
      </c>
      <c r="I64" s="345"/>
      <c r="J64" s="345"/>
      <c r="K64" s="348"/>
    </row>
    <row r="65" spans="2:11">
      <c r="B65" s="343"/>
      <c r="C65" s="344"/>
      <c r="D65" s="357"/>
      <c r="E65" s="357"/>
      <c r="F65" s="357"/>
      <c r="G65" s="357"/>
      <c r="H65" s="358"/>
      <c r="I65" s="357"/>
      <c r="J65" s="357"/>
      <c r="K65" s="359"/>
    </row>
    <row r="66" spans="2:11">
      <c r="B66" s="360"/>
      <c r="C66" s="361" t="s">
        <v>232</v>
      </c>
      <c r="D66" s="362">
        <f>D108/10^5</f>
        <v>0</v>
      </c>
      <c r="E66" s="362">
        <f>E108/10^5</f>
        <v>0</v>
      </c>
      <c r="F66" s="362">
        <f>F108/10^5</f>
        <v>0</v>
      </c>
      <c r="G66" s="362"/>
      <c r="H66" s="363">
        <f t="shared" ref="H66" si="3">+D66+E66-F66</f>
        <v>0</v>
      </c>
      <c r="I66" s="362"/>
      <c r="J66" s="362">
        <f>K108/10^5</f>
        <v>0</v>
      </c>
      <c r="K66" s="364" t="e">
        <f>+H66-#REF!</f>
        <v>#REF!</v>
      </c>
    </row>
    <row r="67" spans="2:11">
      <c r="B67" s="365"/>
      <c r="C67" s="366"/>
      <c r="D67" s="376"/>
      <c r="E67" s="376"/>
      <c r="F67" s="376"/>
      <c r="G67" s="376"/>
      <c r="H67" s="376"/>
      <c r="I67" s="376"/>
      <c r="J67" s="376"/>
      <c r="K67" s="376"/>
    </row>
    <row r="68" spans="2:11">
      <c r="B68" s="365"/>
      <c r="C68" s="366"/>
      <c r="D68" s="376"/>
      <c r="E68" s="376"/>
      <c r="F68" s="376"/>
      <c r="G68" s="376"/>
      <c r="H68" s="376"/>
      <c r="I68" s="376"/>
      <c r="J68" s="376"/>
      <c r="K68" s="376"/>
    </row>
    <row r="69" spans="2:11">
      <c r="B69" s="365"/>
      <c r="C69" s="366"/>
      <c r="D69" s="376"/>
      <c r="E69" s="376"/>
      <c r="F69" s="376"/>
      <c r="G69" s="376"/>
      <c r="H69" s="376"/>
      <c r="I69" s="376"/>
      <c r="J69" s="376"/>
      <c r="K69" s="376"/>
    </row>
    <row r="70" spans="2:11">
      <c r="B70" s="365"/>
      <c r="C70" s="366"/>
      <c r="D70" s="376"/>
      <c r="E70" s="376"/>
      <c r="F70" s="376"/>
      <c r="G70" s="376"/>
      <c r="H70" s="376"/>
      <c r="I70" s="376"/>
      <c r="J70" s="376"/>
      <c r="K70" s="376"/>
    </row>
    <row r="71" spans="2:11">
      <c r="B71" s="365"/>
      <c r="C71" s="366"/>
      <c r="D71" s="376"/>
      <c r="E71" s="376"/>
      <c r="F71" s="376"/>
      <c r="G71" s="376"/>
      <c r="H71" s="376"/>
      <c r="I71" s="376"/>
      <c r="J71" s="376"/>
      <c r="K71" s="376"/>
    </row>
    <row r="72" spans="2:11">
      <c r="B72" s="365"/>
      <c r="C72" s="368" t="str">
        <f>'BS Lia'!C122</f>
        <v>(CA. KESHAV GUPTA)</v>
      </c>
      <c r="D72" s="376"/>
      <c r="E72" s="376"/>
      <c r="F72" s="376"/>
      <c r="G72" s="376"/>
      <c r="H72" s="376"/>
      <c r="I72" s="376"/>
      <c r="J72" s="312" t="str">
        <f>'BS Lia'!E122</f>
        <v>ASHWANI KUMAR SINGLA</v>
      </c>
      <c r="K72" s="376"/>
    </row>
    <row r="73" spans="2:11">
      <c r="B73" s="368"/>
      <c r="C73" s="368" t="str">
        <f>'BS Lia'!C123</f>
        <v>AUDITOR</v>
      </c>
      <c r="D73" s="368"/>
      <c r="E73" s="368"/>
      <c r="F73" s="368"/>
      <c r="H73" s="377"/>
      <c r="J73" s="312" t="str">
        <f>'BS Lia'!E123</f>
        <v>PROPRIETOR</v>
      </c>
      <c r="K73" s="369"/>
    </row>
    <row r="74" spans="2:11">
      <c r="C74" s="368"/>
      <c r="H74" s="369"/>
      <c r="J74" s="312"/>
      <c r="K74" s="370"/>
    </row>
  </sheetData>
  <mergeCells count="20">
    <mergeCell ref="H42:H44"/>
    <mergeCell ref="I42:I44"/>
    <mergeCell ref="J42:J44"/>
    <mergeCell ref="K42:K44"/>
    <mergeCell ref="H5:H7"/>
    <mergeCell ref="I5:I7"/>
    <mergeCell ref="J5:J7"/>
    <mergeCell ref="K5:K7"/>
    <mergeCell ref="B42:B44"/>
    <mergeCell ref="C42:C44"/>
    <mergeCell ref="D42:D44"/>
    <mergeCell ref="E42:E44"/>
    <mergeCell ref="F42:F44"/>
    <mergeCell ref="G42:G44"/>
    <mergeCell ref="B5:B7"/>
    <mergeCell ref="C5:C7"/>
    <mergeCell ref="D5:D7"/>
    <mergeCell ref="E5:E7"/>
    <mergeCell ref="F5:F7"/>
    <mergeCell ref="G5:G7"/>
  </mergeCells>
  <pageMargins left="0.7" right="0.7" top="0.75" bottom="0.75" header="0.3" footer="0.3"/>
  <pageSetup paperSize="9" scale="90" fitToHeight="0" orientation="landscape" r:id="rId1"/>
  <rowBreaks count="1" manualBreakCount="1">
    <brk id="3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630A5-4622-4833-8BC9-E0E33973896D}">
  <sheetPr>
    <tabColor rgb="FF92D050"/>
  </sheetPr>
  <dimension ref="A1:K138"/>
  <sheetViews>
    <sheetView view="pageBreakPreview" topLeftCell="A64" zoomScaleNormal="100" zoomScaleSheetLayoutView="100" workbookViewId="0">
      <selection activeCell="I20" sqref="I20"/>
    </sheetView>
  </sheetViews>
  <sheetFormatPr defaultColWidth="11.5546875" defaultRowHeight="13.2"/>
  <cols>
    <col min="1" max="1" width="2.109375" style="64" customWidth="1"/>
    <col min="2" max="2" width="4.33203125" style="64" customWidth="1"/>
    <col min="3" max="3" width="40" style="64" customWidth="1"/>
    <col min="4" max="4" width="7.109375" style="64" customWidth="1"/>
    <col min="5" max="8" width="17.109375" style="64" customWidth="1"/>
    <col min="9" max="9" width="18.6640625" style="64" customWidth="1"/>
    <col min="10" max="10" width="11.5546875" style="64"/>
    <col min="11" max="11" width="17.44140625" style="64" bestFit="1" customWidth="1"/>
    <col min="12" max="12" width="16.109375" style="64" customWidth="1"/>
    <col min="13" max="16384" width="11.5546875" style="64"/>
  </cols>
  <sheetData>
    <row r="1" spans="2:9">
      <c r="B1" s="67"/>
      <c r="C1" s="67" t="str">
        <f>'BS Lia'!C1</f>
        <v>SINGLA STEEL CORPORATION</v>
      </c>
      <c r="D1" s="67"/>
      <c r="E1" s="67"/>
      <c r="F1" s="67"/>
      <c r="G1" s="67"/>
      <c r="H1" s="67"/>
      <c r="I1" s="67"/>
    </row>
    <row r="2" spans="2:9">
      <c r="C2" s="67" t="str">
        <f>'BS Lia'!C2</f>
        <v>Notes to Financial Statements for the year ended 31.03.2025</v>
      </c>
      <c r="D2" s="67"/>
      <c r="E2" s="67"/>
      <c r="F2" s="67"/>
      <c r="G2" s="67"/>
    </row>
    <row r="3" spans="2:9">
      <c r="C3" s="67"/>
      <c r="D3" s="67"/>
      <c r="E3" s="67"/>
      <c r="F3" s="67"/>
      <c r="G3" s="67"/>
    </row>
    <row r="4" spans="2:9" hidden="1">
      <c r="B4" s="133">
        <f>+BS!C33</f>
        <v>7</v>
      </c>
      <c r="C4" s="67" t="s">
        <v>237</v>
      </c>
      <c r="D4" s="67"/>
      <c r="E4" s="67"/>
      <c r="F4" s="69" t="str">
        <f>'BS Lia'!F16</f>
        <v>(Amount in INR)</v>
      </c>
      <c r="G4" s="67"/>
      <c r="H4" s="378"/>
      <c r="I4" s="378"/>
    </row>
    <row r="5" spans="2:9" ht="39.6" hidden="1" customHeight="1">
      <c r="B5" s="201"/>
      <c r="C5" s="202" t="s">
        <v>97</v>
      </c>
      <c r="D5" s="203"/>
      <c r="E5" s="379" t="str">
        <f>BS!D6</f>
        <v>As at 31.03.2025</v>
      </c>
      <c r="F5" s="379" t="str">
        <f>BS!E6</f>
        <v>As at 31.03.2024</v>
      </c>
      <c r="G5" s="380"/>
      <c r="H5" s="379" t="str">
        <f>BS!G6</f>
        <v>As at 31.03.2025
Amount (Rs.)</v>
      </c>
      <c r="I5" s="379" t="str">
        <f>BS!H6</f>
        <v>As at 31.03.2024
Amount (Rs.)</v>
      </c>
    </row>
    <row r="6" spans="2:9" hidden="1">
      <c r="B6" s="381"/>
      <c r="C6" s="382"/>
      <c r="D6" s="383"/>
      <c r="E6" s="384"/>
      <c r="F6" s="385"/>
      <c r="G6" s="383"/>
      <c r="H6" s="384"/>
      <c r="I6" s="385"/>
    </row>
    <row r="7" spans="2:9" hidden="1">
      <c r="B7" s="386" t="s">
        <v>167</v>
      </c>
      <c r="C7" s="387" t="s">
        <v>238</v>
      </c>
      <c r="D7" s="388"/>
      <c r="E7" s="227">
        <f>H7/'My Contect'!$E$2</f>
        <v>0</v>
      </c>
      <c r="F7" s="227">
        <f>I7/'My Contect'!$E$2</f>
        <v>0</v>
      </c>
      <c r="G7" s="388"/>
      <c r="H7" s="98">
        <f>'Trial 2025'!G74</f>
        <v>0</v>
      </c>
      <c r="I7" s="227">
        <f>'Trial 2025'!I74</f>
        <v>0</v>
      </c>
    </row>
    <row r="8" spans="2:9" hidden="1">
      <c r="B8" s="389"/>
      <c r="C8" s="390"/>
      <c r="D8" s="391"/>
      <c r="E8" s="227"/>
      <c r="F8" s="261"/>
      <c r="G8" s="391"/>
      <c r="H8" s="227"/>
      <c r="I8" s="227"/>
    </row>
    <row r="9" spans="2:9" ht="13.8" hidden="1" thickBot="1">
      <c r="B9" s="392"/>
      <c r="C9" s="210" t="s">
        <v>185</v>
      </c>
      <c r="D9" s="393"/>
      <c r="E9" s="265">
        <f>SUM(E7:E8)</f>
        <v>0</v>
      </c>
      <c r="F9" s="394">
        <f>SUM(F7:F8)</f>
        <v>0</v>
      </c>
      <c r="G9" s="67"/>
      <c r="H9" s="265">
        <f>SUM(H7:H8)</f>
        <v>0</v>
      </c>
      <c r="I9" s="265">
        <f>SUM(I7:I8)</f>
        <v>0</v>
      </c>
    </row>
    <row r="10" spans="2:9" hidden="1">
      <c r="C10" s="67"/>
      <c r="D10" s="67"/>
      <c r="E10" s="67"/>
      <c r="F10" s="67"/>
      <c r="G10" s="67"/>
    </row>
    <row r="11" spans="2:9" hidden="1">
      <c r="C11" s="67"/>
      <c r="D11" s="67"/>
      <c r="E11" s="67"/>
      <c r="F11" s="67"/>
      <c r="G11" s="67"/>
    </row>
    <row r="12" spans="2:9" hidden="1">
      <c r="B12" s="133">
        <f>+BS!C34</f>
        <v>7</v>
      </c>
      <c r="C12" s="67" t="s">
        <v>239</v>
      </c>
      <c r="D12" s="67"/>
      <c r="E12" s="67"/>
      <c r="F12" s="69" t="str">
        <f>'BS Lia'!F16</f>
        <v>(Amount in INR)</v>
      </c>
      <c r="G12" s="67"/>
      <c r="H12" s="378"/>
      <c r="I12" s="378"/>
    </row>
    <row r="13" spans="2:9" ht="38.25" hidden="1" customHeight="1">
      <c r="B13" s="201"/>
      <c r="C13" s="202" t="s">
        <v>97</v>
      </c>
      <c r="D13" s="203"/>
      <c r="E13" s="379" t="str">
        <f>BS!D6</f>
        <v>As at 31.03.2025</v>
      </c>
      <c r="F13" s="379" t="str">
        <f>BS!E6</f>
        <v>As at 31.03.2024</v>
      </c>
      <c r="G13" s="380"/>
      <c r="H13" s="379" t="str">
        <f>'BS Lia'!H17</f>
        <v>As at 31.03.2025
Amount (Rs.)</v>
      </c>
      <c r="I13" s="379" t="str">
        <f>'BS Lia'!I17</f>
        <v>As at 31.03.2024
Amount (Rs.)</v>
      </c>
    </row>
    <row r="14" spans="2:9" hidden="1">
      <c r="B14" s="381"/>
      <c r="C14" s="382" t="s">
        <v>240</v>
      </c>
      <c r="D14" s="383"/>
      <c r="E14" s="384"/>
      <c r="F14" s="385"/>
      <c r="G14" s="383"/>
      <c r="H14" s="384"/>
      <c r="I14" s="385"/>
    </row>
    <row r="15" spans="2:9" hidden="1">
      <c r="B15" s="386" t="s">
        <v>167</v>
      </c>
      <c r="C15" s="387" t="s">
        <v>241</v>
      </c>
      <c r="D15" s="388"/>
      <c r="E15" s="227">
        <f>H15/'My Contect'!$E$2</f>
        <v>0</v>
      </c>
      <c r="F15" s="227">
        <f>I15/'My Contect'!$E$2</f>
        <v>0</v>
      </c>
      <c r="G15" s="388"/>
      <c r="H15" s="98">
        <f>'[1]DTA 2022'!H18</f>
        <v>0</v>
      </c>
      <c r="I15" s="227">
        <v>0</v>
      </c>
    </row>
    <row r="16" spans="2:9" hidden="1">
      <c r="B16" s="395" t="s">
        <v>190</v>
      </c>
      <c r="C16" s="396" t="s">
        <v>242</v>
      </c>
      <c r="D16" s="397"/>
      <c r="E16" s="227">
        <f>H16/'My Contect'!$E$2</f>
        <v>0</v>
      </c>
      <c r="F16" s="227">
        <f>I16/'My Contect'!$E$2</f>
        <v>0</v>
      </c>
      <c r="G16" s="397"/>
      <c r="H16" s="98">
        <f>'[1]DTA 2022'!H22</f>
        <v>0</v>
      </c>
      <c r="I16" s="98">
        <v>0</v>
      </c>
    </row>
    <row r="17" spans="2:9" hidden="1">
      <c r="B17" s="389"/>
      <c r="C17" s="390"/>
      <c r="D17" s="391"/>
      <c r="E17" s="227"/>
      <c r="F17" s="261"/>
      <c r="G17" s="391"/>
      <c r="H17" s="227"/>
      <c r="I17" s="227"/>
    </row>
    <row r="18" spans="2:9" ht="13.8" hidden="1" thickBot="1">
      <c r="B18" s="392"/>
      <c r="C18" s="210" t="s">
        <v>185</v>
      </c>
      <c r="D18" s="393"/>
      <c r="E18" s="265">
        <f>SUM(E15:E17)</f>
        <v>0</v>
      </c>
      <c r="F18" s="394">
        <f>SUM(F15:F17)</f>
        <v>0</v>
      </c>
      <c r="G18" s="67"/>
      <c r="H18" s="265">
        <f>SUM(H15:H17)</f>
        <v>0</v>
      </c>
      <c r="I18" s="265">
        <f>SUM(I15:I17)</f>
        <v>0</v>
      </c>
    </row>
    <row r="19" spans="2:9" hidden="1">
      <c r="H19" s="398"/>
      <c r="I19" s="398"/>
    </row>
    <row r="20" spans="2:9" hidden="1">
      <c r="H20" s="399"/>
      <c r="I20" s="399"/>
    </row>
    <row r="21" spans="2:9" hidden="1">
      <c r="B21" s="133">
        <f>BS!C36</f>
        <v>7</v>
      </c>
      <c r="C21" s="67" t="s">
        <v>243</v>
      </c>
      <c r="D21" s="67"/>
      <c r="E21" s="67"/>
      <c r="F21" s="69" t="str">
        <f>F12</f>
        <v>(Amount in INR)</v>
      </c>
      <c r="G21" s="67"/>
      <c r="H21" s="267"/>
      <c r="I21" s="267"/>
    </row>
    <row r="22" spans="2:9" ht="38.25" hidden="1" customHeight="1">
      <c r="B22" s="400"/>
      <c r="C22" s="243" t="s">
        <v>97</v>
      </c>
      <c r="D22" s="393"/>
      <c r="E22" s="379" t="str">
        <f>E13</f>
        <v>As at 31.03.2025</v>
      </c>
      <c r="F22" s="379" t="str">
        <f>F13</f>
        <v>As at 31.03.2024</v>
      </c>
      <c r="G22" s="380"/>
      <c r="H22" s="379" t="str">
        <f>H13</f>
        <v>As at 31.03.2025
Amount (Rs.)</v>
      </c>
      <c r="I22" s="379" t="str">
        <f>I13</f>
        <v>As at 31.03.2024
Amount (Rs.)</v>
      </c>
    </row>
    <row r="23" spans="2:9" hidden="1">
      <c r="B23" s="400"/>
      <c r="C23" s="246"/>
      <c r="D23" s="401"/>
      <c r="E23" s="402"/>
      <c r="F23" s="403"/>
      <c r="G23" s="401"/>
      <c r="H23" s="402"/>
      <c r="I23" s="403"/>
    </row>
    <row r="24" spans="2:9" hidden="1">
      <c r="B24" s="404" t="s">
        <v>167</v>
      </c>
      <c r="C24" s="405" t="s">
        <v>244</v>
      </c>
      <c r="D24" s="405"/>
      <c r="E24" s="227">
        <f>H24/'My Contect'!$E$2</f>
        <v>0</v>
      </c>
      <c r="F24" s="227">
        <f>I24/'My Contect'!$E$2</f>
        <v>0</v>
      </c>
      <c r="G24" s="405"/>
      <c r="H24" s="280">
        <f>'Trial 2025'!G76</f>
        <v>0</v>
      </c>
      <c r="I24" s="406">
        <f>'Trial 2025'!I76</f>
        <v>0</v>
      </c>
    </row>
    <row r="25" spans="2:9" hidden="1">
      <c r="B25" s="306"/>
      <c r="C25" s="228"/>
      <c r="D25" s="407"/>
      <c r="E25" s="280"/>
      <c r="F25" s="281"/>
      <c r="G25" s="228"/>
      <c r="H25" s="280"/>
      <c r="I25" s="281"/>
    </row>
    <row r="26" spans="2:9" ht="13.8" hidden="1" thickBot="1">
      <c r="B26" s="392"/>
      <c r="C26" s="210" t="s">
        <v>185</v>
      </c>
      <c r="D26" s="393"/>
      <c r="E26" s="265">
        <f>SUM(E23:E25)</f>
        <v>0</v>
      </c>
      <c r="F26" s="265">
        <f>SUM(F23:F25)</f>
        <v>0</v>
      </c>
      <c r="G26" s="67"/>
      <c r="H26" s="265">
        <f t="shared" ref="H26:I26" si="0">SUM(H23:H25)</f>
        <v>0</v>
      </c>
      <c r="I26" s="265">
        <f t="shared" si="0"/>
        <v>0</v>
      </c>
    </row>
    <row r="27" spans="2:9" hidden="1">
      <c r="B27" s="267"/>
      <c r="C27" s="67"/>
      <c r="D27" s="67"/>
      <c r="E27" s="67"/>
      <c r="F27" s="67"/>
      <c r="G27" s="67"/>
      <c r="H27" s="311"/>
      <c r="I27" s="311"/>
    </row>
    <row r="28" spans="2:9" hidden="1">
      <c r="H28" s="399"/>
      <c r="I28" s="399"/>
    </row>
    <row r="29" spans="2:9">
      <c r="B29" s="133">
        <f>+BS!C39</f>
        <v>8</v>
      </c>
      <c r="C29" s="67" t="s">
        <v>245</v>
      </c>
      <c r="D29" s="67"/>
      <c r="E29" s="67"/>
      <c r="F29" s="69" t="str">
        <f>F21</f>
        <v>(Amount in INR)</v>
      </c>
      <c r="G29" s="67"/>
      <c r="H29" s="267"/>
      <c r="I29" s="267"/>
    </row>
    <row r="30" spans="2:9" ht="38.25" customHeight="1">
      <c r="B30" s="400"/>
      <c r="C30" s="202" t="s">
        <v>97</v>
      </c>
      <c r="D30" s="203"/>
      <c r="E30" s="379" t="str">
        <f>E22</f>
        <v>As at 31.03.2025</v>
      </c>
      <c r="F30" s="379" t="str">
        <f>F22</f>
        <v>As at 31.03.2024</v>
      </c>
      <c r="G30" s="408"/>
      <c r="H30" s="379" t="str">
        <f>H22</f>
        <v>As at 31.03.2025
Amount (Rs.)</v>
      </c>
      <c r="I30" s="379" t="str">
        <f>I22</f>
        <v>As at 31.03.2024
Amount (Rs.)</v>
      </c>
    </row>
    <row r="31" spans="2:9">
      <c r="B31" s="409"/>
      <c r="C31" s="410"/>
      <c r="D31" s="411"/>
      <c r="E31" s="412"/>
      <c r="F31" s="403"/>
      <c r="G31" s="413"/>
      <c r="H31" s="402"/>
      <c r="I31" s="403"/>
    </row>
    <row r="32" spans="2:9" hidden="1">
      <c r="B32" s="206" t="s">
        <v>167</v>
      </c>
      <c r="C32" s="208" t="s">
        <v>246</v>
      </c>
      <c r="D32" s="208"/>
      <c r="E32" s="227">
        <f>H32/'My Contect'!$E$2</f>
        <v>0</v>
      </c>
      <c r="F32" s="227">
        <f>I32/'My Contect'!$E$2</f>
        <v>0</v>
      </c>
      <c r="G32" s="208"/>
      <c r="H32" s="414">
        <v>0</v>
      </c>
      <c r="I32" s="415">
        <v>0</v>
      </c>
    </row>
    <row r="33" spans="2:9" hidden="1">
      <c r="B33" s="206" t="s">
        <v>190</v>
      </c>
      <c r="C33" s="208" t="s">
        <v>247</v>
      </c>
      <c r="D33" s="208"/>
      <c r="E33" s="227">
        <f>H33/'My Contect'!$E$2</f>
        <v>0</v>
      </c>
      <c r="F33" s="227">
        <f>I33/'My Contect'!$E$2</f>
        <v>0</v>
      </c>
      <c r="G33" s="208"/>
      <c r="H33" s="414">
        <f>'PL Det'!G46</f>
        <v>0</v>
      </c>
      <c r="I33" s="414">
        <f>'PL Det'!H46</f>
        <v>0</v>
      </c>
    </row>
    <row r="34" spans="2:9" hidden="1">
      <c r="B34" s="206" t="s">
        <v>248</v>
      </c>
      <c r="C34" s="208" t="s">
        <v>249</v>
      </c>
      <c r="D34" s="208"/>
      <c r="E34" s="227">
        <f>H34/'My Contect'!$E$2</f>
        <v>0</v>
      </c>
      <c r="F34" s="227">
        <f>I34/'My Contect'!$E$2</f>
        <v>0</v>
      </c>
      <c r="G34" s="208"/>
      <c r="H34" s="414">
        <f>'PL Det'!G47</f>
        <v>0</v>
      </c>
      <c r="I34" s="414">
        <f>'PL Det'!H47</f>
        <v>0</v>
      </c>
    </row>
    <row r="35" spans="2:9">
      <c r="B35" s="206" t="s">
        <v>167</v>
      </c>
      <c r="C35" s="208" t="s">
        <v>250</v>
      </c>
      <c r="D35" s="208"/>
      <c r="E35" s="227">
        <f>H35/'My Contect'!$E$2</f>
        <v>954550.00000000012</v>
      </c>
      <c r="F35" s="227">
        <f>I35/'My Contect'!$E$2</f>
        <v>3580000</v>
      </c>
      <c r="G35" s="208"/>
      <c r="H35" s="414">
        <f>'PL Det'!G48</f>
        <v>954550.00000000012</v>
      </c>
      <c r="I35" s="414">
        <f>'PL Det'!H48</f>
        <v>3580000</v>
      </c>
    </row>
    <row r="36" spans="2:9">
      <c r="B36" s="294"/>
      <c r="C36" s="260"/>
      <c r="D36" s="260"/>
      <c r="E36" s="416"/>
      <c r="F36" s="417"/>
      <c r="H36" s="416"/>
      <c r="I36" s="417"/>
    </row>
    <row r="37" spans="2:9" ht="13.8" thickBot="1">
      <c r="B37" s="307"/>
      <c r="C37" s="210" t="s">
        <v>185</v>
      </c>
      <c r="D37" s="393"/>
      <c r="E37" s="418">
        <f>SUM(E32:E36)</f>
        <v>954550.00000000012</v>
      </c>
      <c r="F37" s="419">
        <f>SUM(F32:F36)</f>
        <v>3580000</v>
      </c>
      <c r="G37" s="420"/>
      <c r="H37" s="421">
        <f>SUM(H32:H36)</f>
        <v>954550.00000000012</v>
      </c>
      <c r="I37" s="419">
        <f>SUM(I32:I36)</f>
        <v>3580000</v>
      </c>
    </row>
    <row r="38" spans="2:9" ht="13.8" thickTop="1">
      <c r="H38" s="197"/>
      <c r="I38" s="197"/>
    </row>
    <row r="39" spans="2:9">
      <c r="B39" s="67"/>
      <c r="C39" s="67"/>
      <c r="D39" s="67"/>
      <c r="E39" s="67"/>
      <c r="F39" s="67"/>
      <c r="G39" s="67"/>
      <c r="H39" s="267"/>
      <c r="I39" s="267"/>
    </row>
    <row r="40" spans="2:9">
      <c r="B40" s="133">
        <f>+BS!C40</f>
        <v>9</v>
      </c>
      <c r="C40" s="67" t="s">
        <v>251</v>
      </c>
      <c r="D40" s="67"/>
      <c r="E40" s="67"/>
      <c r="F40" s="69" t="str">
        <f>F29</f>
        <v>(Amount in INR)</v>
      </c>
      <c r="G40" s="67"/>
    </row>
    <row r="41" spans="2:9" ht="38.25" customHeight="1">
      <c r="B41" s="201"/>
      <c r="C41" s="202" t="s">
        <v>97</v>
      </c>
      <c r="D41" s="202"/>
      <c r="E41" s="379" t="str">
        <f>E30</f>
        <v>As at 31.03.2025</v>
      </c>
      <c r="F41" s="379" t="str">
        <f>F30</f>
        <v>As at 31.03.2024</v>
      </c>
      <c r="G41" s="408"/>
      <c r="H41" s="379" t="str">
        <f>H30</f>
        <v>As at 31.03.2025
Amount (Rs.)</v>
      </c>
      <c r="I41" s="379" t="str">
        <f>I30</f>
        <v>As at 31.03.2024
Amount (Rs.)</v>
      </c>
    </row>
    <row r="42" spans="2:9">
      <c r="B42" s="422">
        <v>1</v>
      </c>
      <c r="C42" s="67" t="s">
        <v>252</v>
      </c>
      <c r="D42" s="67"/>
      <c r="E42" s="86"/>
      <c r="F42" s="207"/>
      <c r="G42" s="67"/>
      <c r="H42" s="423"/>
      <c r="I42" s="207"/>
    </row>
    <row r="43" spans="2:9">
      <c r="B43" s="80" t="s">
        <v>167</v>
      </c>
      <c r="C43" s="64" t="s">
        <v>251</v>
      </c>
      <c r="E43" s="227">
        <f>H43/'My Contect'!$E$2</f>
        <v>54524239.5</v>
      </c>
      <c r="F43" s="227">
        <f>I43/'My Contect'!$E$2</f>
        <v>70762061.930000007</v>
      </c>
      <c r="H43" s="227">
        <f>Sheet4!C120</f>
        <v>54524239.5</v>
      </c>
      <c r="I43" s="227">
        <f>Sheet4!D120</f>
        <v>70762061.930000007</v>
      </c>
    </row>
    <row r="44" spans="2:9" ht="26.4" hidden="1">
      <c r="B44" s="423"/>
      <c r="C44" s="228" t="str">
        <f>CONCATENATE("( For Trade Receivables aging schedule Refer Note No. ",'Aging Analysis'!B29," )")</f>
        <v>( For Trade Receivables aging schedule Refer Note No. 22 )</v>
      </c>
      <c r="D44" s="251"/>
      <c r="E44" s="207"/>
      <c r="F44" s="207"/>
      <c r="G44" s="250"/>
      <c r="H44" s="227"/>
      <c r="I44" s="227"/>
    </row>
    <row r="45" spans="2:9">
      <c r="B45" s="277"/>
      <c r="C45" s="424"/>
      <c r="D45" s="425"/>
      <c r="E45" s="426"/>
      <c r="F45" s="426"/>
      <c r="G45" s="427"/>
      <c r="H45" s="261"/>
      <c r="I45" s="261"/>
    </row>
    <row r="46" spans="2:9" ht="13.8" thickBot="1">
      <c r="B46" s="277"/>
      <c r="C46" s="428" t="s">
        <v>185</v>
      </c>
      <c r="D46" s="393"/>
      <c r="E46" s="429">
        <f>SUM(E43:E44)</f>
        <v>54524239.5</v>
      </c>
      <c r="F46" s="429">
        <f>SUM(F43:F44)</f>
        <v>70762061.930000007</v>
      </c>
      <c r="G46" s="420"/>
      <c r="H46" s="421">
        <f>SUM(H43:H44)</f>
        <v>54524239.5</v>
      </c>
      <c r="I46" s="429">
        <f>SUM(I43:I44)</f>
        <v>70762061.930000007</v>
      </c>
    </row>
    <row r="47" spans="2:9" ht="13.8" thickTop="1">
      <c r="C47" s="67"/>
      <c r="D47" s="67"/>
      <c r="E47" s="67"/>
      <c r="F47" s="67"/>
      <c r="G47" s="67"/>
      <c r="H47" s="311"/>
      <c r="I47" s="311"/>
    </row>
    <row r="48" spans="2:9" hidden="1">
      <c r="C48" s="67"/>
      <c r="D48" s="67"/>
      <c r="E48" s="67"/>
      <c r="F48" s="67"/>
      <c r="G48" s="67"/>
      <c r="H48" s="311"/>
      <c r="I48" s="311"/>
    </row>
    <row r="49" spans="2:9" hidden="1">
      <c r="C49" s="67"/>
      <c r="D49" s="67"/>
      <c r="E49" s="67"/>
      <c r="F49" s="67"/>
      <c r="G49" s="67"/>
      <c r="H49" s="311"/>
      <c r="I49" s="311"/>
    </row>
    <row r="50" spans="2:9" hidden="1"/>
    <row r="51" spans="2:9" hidden="1">
      <c r="H51" s="267"/>
      <c r="I51" s="267"/>
    </row>
    <row r="52" spans="2:9" hidden="1">
      <c r="H52" s="267"/>
      <c r="I52" s="267"/>
    </row>
    <row r="53" spans="2:9" s="430" customFormat="1" hidden="1">
      <c r="B53" s="64"/>
      <c r="C53" s="144" t="str">
        <f>'FA NEW'!C36</f>
        <v>(CA. KESHAV GUPTA)</v>
      </c>
      <c r="D53" s="144"/>
      <c r="E53" s="144" t="str">
        <f>'BS Lia'!E122</f>
        <v>ASHWANI KUMAR SINGLA</v>
      </c>
      <c r="F53" s="144">
        <f>'BS Lia'!F122</f>
        <v>0</v>
      </c>
      <c r="G53" s="144"/>
      <c r="H53" s="144" t="str">
        <f t="shared" ref="H53:H54" si="1">E53</f>
        <v>ASHWANI KUMAR SINGLA</v>
      </c>
      <c r="I53" s="287"/>
    </row>
    <row r="54" spans="2:9" s="430" customFormat="1" hidden="1">
      <c r="B54" s="64"/>
      <c r="C54" s="144" t="str">
        <f>'FA NEW'!C37</f>
        <v>AUDITOR</v>
      </c>
      <c r="D54" s="144"/>
      <c r="E54" s="144" t="str">
        <f>'BS Lia'!E123</f>
        <v>PROPRIETOR</v>
      </c>
      <c r="F54" s="144">
        <f>'BS Lia'!F123</f>
        <v>0</v>
      </c>
      <c r="G54" s="144"/>
      <c r="H54" s="144" t="str">
        <f t="shared" si="1"/>
        <v>PROPRIETOR</v>
      </c>
      <c r="I54" s="287"/>
    </row>
    <row r="55" spans="2:9" s="430" customFormat="1" hidden="1">
      <c r="B55" s="64"/>
      <c r="C55" s="64"/>
      <c r="D55" s="64"/>
      <c r="E55" s="144"/>
      <c r="F55" s="144"/>
      <c r="G55" s="64"/>
      <c r="H55" s="144"/>
      <c r="I55" s="287"/>
    </row>
    <row r="56" spans="2:9" hidden="1">
      <c r="C56" s="67" t="str">
        <f>C1</f>
        <v>SINGLA STEEL CORPORATION</v>
      </c>
      <c r="D56" s="67"/>
      <c r="E56" s="67"/>
      <c r="F56" s="67"/>
      <c r="G56" s="67"/>
      <c r="H56" s="267"/>
      <c r="I56" s="267"/>
    </row>
    <row r="57" spans="2:9" hidden="1">
      <c r="B57" s="67"/>
      <c r="C57" s="67" t="str">
        <f>C2</f>
        <v>Notes to Financial Statements for the year ended 31.03.2025</v>
      </c>
      <c r="D57" s="67"/>
      <c r="E57" s="67"/>
      <c r="F57" s="67"/>
      <c r="G57" s="67"/>
      <c r="H57" s="67"/>
      <c r="I57" s="67"/>
    </row>
    <row r="58" spans="2:9">
      <c r="B58" s="68"/>
      <c r="C58" s="68"/>
      <c r="D58" s="68"/>
      <c r="E58" s="68"/>
      <c r="F58" s="68"/>
      <c r="G58" s="68"/>
      <c r="H58" s="68"/>
      <c r="I58" s="68"/>
    </row>
    <row r="59" spans="2:9">
      <c r="B59" s="133">
        <f>+BS!C41</f>
        <v>10</v>
      </c>
      <c r="C59" s="67" t="s">
        <v>253</v>
      </c>
      <c r="D59" s="67"/>
      <c r="E59" s="67"/>
      <c r="F59" s="69" t="str">
        <f>F40</f>
        <v>(Amount in INR)</v>
      </c>
      <c r="G59" s="67"/>
      <c r="H59" s="267"/>
      <c r="I59" s="267"/>
    </row>
    <row r="60" spans="2:9" ht="54.75" customHeight="1">
      <c r="B60" s="201"/>
      <c r="C60" s="202" t="s">
        <v>97</v>
      </c>
      <c r="D60" s="203"/>
      <c r="E60" s="379" t="str">
        <f>E30</f>
        <v>As at 31.03.2025</v>
      </c>
      <c r="F60" s="379" t="str">
        <f>F30</f>
        <v>As at 31.03.2024</v>
      </c>
      <c r="G60" s="380"/>
      <c r="H60" s="379" t="str">
        <f>H30</f>
        <v>As at 31.03.2025
Amount (Rs.)</v>
      </c>
      <c r="I60" s="379" t="str">
        <f>I30</f>
        <v>As at 31.03.2024
Amount (Rs.)</v>
      </c>
    </row>
    <row r="61" spans="2:9">
      <c r="B61" s="229">
        <v>1</v>
      </c>
      <c r="C61" s="303" t="s">
        <v>254</v>
      </c>
      <c r="D61" s="273"/>
      <c r="E61" s="207"/>
      <c r="F61" s="207"/>
      <c r="G61" s="431"/>
      <c r="H61" s="207"/>
      <c r="I61" s="207"/>
    </row>
    <row r="62" spans="2:9" hidden="1">
      <c r="B62" s="206" t="s">
        <v>167</v>
      </c>
      <c r="C62" s="208" t="s">
        <v>255</v>
      </c>
      <c r="D62" s="290"/>
      <c r="E62" s="98">
        <f>H62/'My Contect'!$E$2</f>
        <v>0</v>
      </c>
      <c r="F62" s="98">
        <f>I62/'My Contect'!$E$2</f>
        <v>0</v>
      </c>
      <c r="G62" s="290"/>
      <c r="H62" s="227">
        <f>'Trial 2025'!G160+'Trial 2025'!G161</f>
        <v>0</v>
      </c>
      <c r="I62" s="227">
        <f>'Trial 2025'!I160</f>
        <v>0</v>
      </c>
    </row>
    <row r="63" spans="2:9">
      <c r="B63" s="206" t="s">
        <v>167</v>
      </c>
      <c r="C63" s="208" t="s">
        <v>256</v>
      </c>
      <c r="D63" s="290"/>
      <c r="E63" s="98">
        <f>H63/'My Contect'!$E$2</f>
        <v>403049</v>
      </c>
      <c r="F63" s="98">
        <f>I63/'My Contect'!$E$2</f>
        <v>310684</v>
      </c>
      <c r="G63" s="290"/>
      <c r="H63" s="227">
        <f>'Trial 2025'!G158</f>
        <v>403049</v>
      </c>
      <c r="I63" s="227">
        <f>'Trial 2025'!I158</f>
        <v>310684</v>
      </c>
    </row>
    <row r="64" spans="2:9">
      <c r="B64" s="206" t="s">
        <v>190</v>
      </c>
      <c r="C64" s="208" t="s">
        <v>257</v>
      </c>
      <c r="D64" s="290"/>
      <c r="E64" s="98">
        <f>H64/'My Contect'!$E$2</f>
        <v>255827</v>
      </c>
      <c r="F64" s="98">
        <f>I64/'My Contect'!$E$2</f>
        <v>141840</v>
      </c>
      <c r="G64" s="290"/>
      <c r="H64" s="227">
        <f>SUM('Trial 2025'!G157:G157)</f>
        <v>255827</v>
      </c>
      <c r="I64" s="227">
        <f>'Trial 2025'!I157</f>
        <v>141840</v>
      </c>
    </row>
    <row r="65" spans="2:11">
      <c r="B65" s="206"/>
      <c r="C65" s="208"/>
      <c r="D65" s="290"/>
      <c r="E65" s="113"/>
      <c r="F65" s="113"/>
      <c r="G65" s="290"/>
      <c r="H65" s="261"/>
      <c r="I65" s="261"/>
    </row>
    <row r="66" spans="2:11" hidden="1">
      <c r="B66" s="423"/>
      <c r="D66" s="215"/>
      <c r="E66" s="432">
        <f>SUM(E62:E65)</f>
        <v>658876</v>
      </c>
      <c r="F66" s="432">
        <f>SUM(F62:F65)</f>
        <v>452524</v>
      </c>
      <c r="G66" s="215"/>
      <c r="H66" s="433">
        <f>SUM(H62:H65)</f>
        <v>658876</v>
      </c>
      <c r="I66" s="433">
        <f>SUM(I62:I65)</f>
        <v>452524</v>
      </c>
    </row>
    <row r="67" spans="2:11" hidden="1">
      <c r="B67" s="229">
        <v>2</v>
      </c>
      <c r="C67" s="303" t="s">
        <v>258</v>
      </c>
      <c r="D67" s="273"/>
      <c r="E67" s="98"/>
      <c r="F67" s="98"/>
      <c r="G67" s="273"/>
      <c r="H67" s="227"/>
      <c r="I67" s="227"/>
    </row>
    <row r="68" spans="2:11" hidden="1">
      <c r="B68" s="206" t="s">
        <v>167</v>
      </c>
      <c r="C68" s="208" t="s">
        <v>259</v>
      </c>
      <c r="D68" s="276"/>
      <c r="E68" s="227">
        <f>H68/'My Contect'!$E$2</f>
        <v>0</v>
      </c>
      <c r="F68" s="227">
        <f>I68/'My Contect'!$E$2</f>
        <v>0</v>
      </c>
      <c r="G68" s="276"/>
      <c r="H68" s="227">
        <f>'Trial 2025'!G162</f>
        <v>0</v>
      </c>
      <c r="I68" s="227">
        <f>+'Trial 2025'!I161</f>
        <v>0</v>
      </c>
    </row>
    <row r="69" spans="2:11" hidden="1">
      <c r="B69" s="206"/>
      <c r="C69" s="208"/>
      <c r="D69" s="290"/>
      <c r="E69" s="98"/>
      <c r="F69" s="98"/>
      <c r="G69" s="290"/>
      <c r="H69" s="227"/>
      <c r="I69" s="227"/>
    </row>
    <row r="70" spans="2:11" hidden="1">
      <c r="B70" s="206"/>
      <c r="C70" s="208"/>
      <c r="D70" s="290"/>
      <c r="E70" s="432">
        <f>SUM(E68:E68)</f>
        <v>0</v>
      </c>
      <c r="F70" s="432">
        <f>SUM(F68:F68)</f>
        <v>0</v>
      </c>
      <c r="G70" s="290"/>
      <c r="H70" s="433">
        <f>SUM(H68:H68)</f>
        <v>0</v>
      </c>
      <c r="I70" s="433">
        <f>SUM(I68:I68)</f>
        <v>0</v>
      </c>
    </row>
    <row r="71" spans="2:11" hidden="1">
      <c r="B71" s="294"/>
      <c r="C71" s="260"/>
      <c r="D71" s="214"/>
      <c r="E71" s="261"/>
      <c r="F71" s="261"/>
      <c r="G71" s="86"/>
      <c r="H71" s="261"/>
      <c r="I71" s="261"/>
    </row>
    <row r="72" spans="2:11" ht="13.8" thickBot="1">
      <c r="B72" s="307"/>
      <c r="C72" s="434" t="s">
        <v>260</v>
      </c>
      <c r="D72" s="393"/>
      <c r="E72" s="265">
        <f>E66+E70</f>
        <v>658876</v>
      </c>
      <c r="F72" s="265">
        <f>F66+F70</f>
        <v>452524</v>
      </c>
      <c r="G72" s="149"/>
      <c r="H72" s="265">
        <f>H66+H70</f>
        <v>658876</v>
      </c>
      <c r="I72" s="419">
        <f>I66+I70</f>
        <v>452524</v>
      </c>
    </row>
    <row r="73" spans="2:11" ht="13.8" thickTop="1">
      <c r="H73" s="267"/>
      <c r="I73" s="267"/>
    </row>
    <row r="74" spans="2:11">
      <c r="B74" s="68"/>
      <c r="C74" s="68"/>
      <c r="D74" s="68"/>
      <c r="E74" s="68"/>
      <c r="F74" s="68"/>
      <c r="G74" s="68"/>
      <c r="H74" s="68"/>
      <c r="I74" s="68"/>
    </row>
    <row r="75" spans="2:11">
      <c r="B75" s="133">
        <f>+BS!C42</f>
        <v>11</v>
      </c>
      <c r="C75" s="67" t="s">
        <v>261</v>
      </c>
      <c r="D75" s="67"/>
      <c r="E75" s="67"/>
      <c r="F75" s="69" t="str">
        <f>F59</f>
        <v>(Amount in INR)</v>
      </c>
      <c r="G75" s="67"/>
      <c r="H75" s="267"/>
      <c r="I75" s="267"/>
    </row>
    <row r="76" spans="2:11" ht="52.5" customHeight="1">
      <c r="B76" s="201"/>
      <c r="C76" s="202" t="s">
        <v>97</v>
      </c>
      <c r="D76" s="203"/>
      <c r="E76" s="379" t="str">
        <f>E60</f>
        <v>As at 31.03.2025</v>
      </c>
      <c r="F76" s="379" t="str">
        <f>F60</f>
        <v>As at 31.03.2024</v>
      </c>
      <c r="G76" s="221"/>
      <c r="H76" s="379" t="str">
        <f>H60</f>
        <v>As at 31.03.2025
Amount (Rs.)</v>
      </c>
      <c r="I76" s="379" t="str">
        <f>I60</f>
        <v>As at 31.03.2024
Amount (Rs.)</v>
      </c>
    </row>
    <row r="77" spans="2:11">
      <c r="B77" s="435">
        <v>1</v>
      </c>
      <c r="C77" s="67" t="s">
        <v>252</v>
      </c>
      <c r="D77" s="67"/>
      <c r="E77" s="436"/>
      <c r="F77" s="437"/>
      <c r="G77" s="67"/>
      <c r="H77" s="436"/>
      <c r="I77" s="437"/>
    </row>
    <row r="78" spans="2:11">
      <c r="B78" s="206" t="s">
        <v>167</v>
      </c>
      <c r="C78" s="67" t="s">
        <v>262</v>
      </c>
      <c r="D78" s="67"/>
      <c r="E78" s="306"/>
      <c r="F78" s="93"/>
      <c r="G78" s="67"/>
      <c r="H78" s="280"/>
      <c r="I78" s="281"/>
    </row>
    <row r="79" spans="2:11">
      <c r="B79" s="291" t="s">
        <v>263</v>
      </c>
      <c r="C79" s="64" t="s">
        <v>264</v>
      </c>
      <c r="D79" s="67"/>
      <c r="E79" s="227">
        <f>H79/'My Contect'!$E$2</f>
        <v>1947636</v>
      </c>
      <c r="F79" s="227">
        <f>I79/'My Contect'!$E$2</f>
        <v>26228.27</v>
      </c>
      <c r="G79" s="67"/>
      <c r="H79" s="278">
        <f>Sheet4!C129</f>
        <v>1947636</v>
      </c>
      <c r="I79" s="278">
        <f>Sheet4!D129</f>
        <v>26228.27</v>
      </c>
    </row>
    <row r="80" spans="2:11" hidden="1">
      <c r="B80" s="291" t="s">
        <v>265</v>
      </c>
      <c r="C80" s="64" t="s">
        <v>266</v>
      </c>
      <c r="E80" s="227">
        <f>H80/'My Contect'!$E$2</f>
        <v>0</v>
      </c>
      <c r="F80" s="227">
        <f>I80/'My Contect'!$E$2</f>
        <v>0</v>
      </c>
      <c r="H80" s="278">
        <f>Sheet4!C135</f>
        <v>0</v>
      </c>
      <c r="I80" s="278">
        <f>Sheet4!D135</f>
        <v>0</v>
      </c>
      <c r="K80" s="197"/>
    </row>
    <row r="81" spans="2:11">
      <c r="B81" s="291" t="s">
        <v>265</v>
      </c>
      <c r="C81" s="64" t="s">
        <v>267</v>
      </c>
      <c r="E81" s="227">
        <f>H81/'My Contect'!$E$2</f>
        <v>0</v>
      </c>
      <c r="F81" s="227">
        <f>I81/'My Contect'!$E$2</f>
        <v>281077.41999999993</v>
      </c>
      <c r="H81" s="278">
        <f>Sheet4!C143-H82</f>
        <v>0</v>
      </c>
      <c r="I81" s="278">
        <f>Sheet4!D143-I82</f>
        <v>281077.41999999993</v>
      </c>
      <c r="K81" s="197"/>
    </row>
    <row r="82" spans="2:11">
      <c r="B82" s="291" t="s">
        <v>268</v>
      </c>
      <c r="C82" s="438" t="s">
        <v>269</v>
      </c>
      <c r="D82" s="439"/>
      <c r="E82" s="227">
        <f>H82/'My Contect'!$E$2</f>
        <v>690307.47</v>
      </c>
      <c r="F82" s="227">
        <f>I82/'My Contect'!$E$2</f>
        <v>1276793.57</v>
      </c>
      <c r="G82" s="439"/>
      <c r="H82" s="227">
        <f>Sheet4!C139+Sheet4!C140</f>
        <v>690307.47</v>
      </c>
      <c r="I82" s="440">
        <f>'Trial 2025'!I167+'Trial 2025'!I168</f>
        <v>1276793.57</v>
      </c>
      <c r="K82" s="197"/>
    </row>
    <row r="83" spans="2:11">
      <c r="B83" s="206"/>
      <c r="E83" s="236"/>
      <c r="F83" s="261"/>
      <c r="H83" s="441"/>
      <c r="I83" s="417"/>
    </row>
    <row r="84" spans="2:11" ht="13.8" thickBot="1">
      <c r="B84" s="307"/>
      <c r="C84" s="434" t="s">
        <v>185</v>
      </c>
      <c r="D84" s="393"/>
      <c r="E84" s="421">
        <f>SUM(E77:E83)</f>
        <v>2637943.4699999997</v>
      </c>
      <c r="F84" s="429">
        <f>SUM(F77:F83)</f>
        <v>1584099.26</v>
      </c>
      <c r="G84" s="149"/>
      <c r="H84" s="421">
        <f>SUM(H77:H83)</f>
        <v>2637943.4699999997</v>
      </c>
      <c r="I84" s="429">
        <f>SUM(I77:I83)</f>
        <v>1584099.26</v>
      </c>
    </row>
    <row r="85" spans="2:11" ht="13.8" thickTop="1">
      <c r="B85" s="267"/>
      <c r="C85" s="149"/>
      <c r="D85" s="149"/>
      <c r="E85" s="149"/>
      <c r="F85" s="149"/>
      <c r="G85" s="149"/>
      <c r="H85" s="311"/>
      <c r="I85" s="311"/>
    </row>
    <row r="86" spans="2:11">
      <c r="H86" s="267"/>
      <c r="I86" s="267"/>
    </row>
    <row r="87" spans="2:11">
      <c r="B87" s="133">
        <f>+BS!C43</f>
        <v>11</v>
      </c>
      <c r="C87" s="67" t="s">
        <v>270</v>
      </c>
      <c r="D87" s="67"/>
      <c r="E87" s="67"/>
      <c r="F87" s="69" t="str">
        <f>F75</f>
        <v>(Amount in INR)</v>
      </c>
      <c r="G87" s="67"/>
      <c r="H87" s="267"/>
      <c r="I87" s="267"/>
    </row>
    <row r="88" spans="2:11" ht="52.5" customHeight="1">
      <c r="B88" s="201"/>
      <c r="C88" s="202" t="s">
        <v>97</v>
      </c>
      <c r="D88" s="203"/>
      <c r="E88" s="379" t="str">
        <f>E76</f>
        <v>As at 31.03.2025</v>
      </c>
      <c r="F88" s="442" t="str">
        <f>F76</f>
        <v>As at 31.03.2024</v>
      </c>
      <c r="G88" s="380"/>
      <c r="H88" s="379" t="str">
        <f>H76</f>
        <v>As at 31.03.2025
Amount (Rs.)</v>
      </c>
      <c r="I88" s="442" t="str">
        <f>I76</f>
        <v>As at 31.03.2024
Amount (Rs.)</v>
      </c>
    </row>
    <row r="89" spans="2:11">
      <c r="B89" s="271"/>
      <c r="C89" s="443"/>
      <c r="D89" s="444"/>
      <c r="E89" s="445"/>
      <c r="F89" s="446"/>
      <c r="G89" s="215"/>
      <c r="H89" s="445"/>
      <c r="I89" s="446"/>
    </row>
    <row r="90" spans="2:11">
      <c r="B90" s="206" t="s">
        <v>167</v>
      </c>
      <c r="C90" s="64" t="s">
        <v>267</v>
      </c>
      <c r="D90" s="215"/>
      <c r="E90" s="227">
        <f>H90/'My Contect'!$E$2</f>
        <v>0</v>
      </c>
      <c r="F90" s="227">
        <f>I90/'My Contect'!$E$2</f>
        <v>0</v>
      </c>
      <c r="G90" s="215"/>
      <c r="H90" s="227">
        <v>0</v>
      </c>
      <c r="I90" s="227">
        <v>0</v>
      </c>
      <c r="K90" s="197"/>
    </row>
    <row r="91" spans="2:11">
      <c r="B91" s="206" t="s">
        <v>190</v>
      </c>
      <c r="C91" s="64" t="s">
        <v>269</v>
      </c>
      <c r="D91" s="215"/>
      <c r="E91" s="227">
        <f>H91/'My Contect'!$E$2</f>
        <v>0</v>
      </c>
      <c r="F91" s="227">
        <f>I91/'My Contect'!$E$2</f>
        <v>0</v>
      </c>
      <c r="G91" s="215"/>
      <c r="H91" s="227">
        <v>0</v>
      </c>
      <c r="I91" s="227">
        <v>0</v>
      </c>
      <c r="K91" s="197"/>
    </row>
    <row r="92" spans="2:11">
      <c r="B92" s="206" t="s">
        <v>248</v>
      </c>
      <c r="C92" s="64" t="s">
        <v>271</v>
      </c>
      <c r="D92" s="215"/>
      <c r="E92" s="227">
        <f>H92/'My Contect'!$E$2</f>
        <v>0</v>
      </c>
      <c r="F92" s="227">
        <f>I92/'My Contect'!$E$2</f>
        <v>0</v>
      </c>
      <c r="G92" s="215"/>
      <c r="H92" s="227">
        <f>'Trial 2025'!G171</f>
        <v>0</v>
      </c>
      <c r="I92" s="227">
        <v>0</v>
      </c>
    </row>
    <row r="93" spans="2:11">
      <c r="B93" s="206"/>
      <c r="C93" s="260"/>
      <c r="D93" s="215"/>
      <c r="E93" s="226"/>
      <c r="F93" s="261"/>
      <c r="H93" s="261"/>
      <c r="I93" s="447"/>
    </row>
    <row r="94" spans="2:11" ht="13.8" thickBot="1">
      <c r="B94" s="307"/>
      <c r="C94" s="434" t="s">
        <v>185</v>
      </c>
      <c r="D94" s="393"/>
      <c r="E94" s="265">
        <f t="shared" ref="E94:F94" si="2">SUM(E89:E92)</f>
        <v>0</v>
      </c>
      <c r="F94" s="448">
        <f t="shared" si="2"/>
        <v>0</v>
      </c>
      <c r="G94" s="149"/>
      <c r="H94" s="265">
        <f>SUM(H89:H92)</f>
        <v>0</v>
      </c>
      <c r="I94" s="448">
        <f>SUM(I89:I92)</f>
        <v>0</v>
      </c>
    </row>
    <row r="95" spans="2:11" ht="13.8" thickTop="1">
      <c r="H95" s="267"/>
      <c r="I95" s="267"/>
    </row>
    <row r="96" spans="2:11">
      <c r="H96" s="267"/>
      <c r="I96" s="267"/>
    </row>
    <row r="97" spans="1:9">
      <c r="H97" s="267"/>
      <c r="I97" s="267"/>
    </row>
    <row r="98" spans="1:9">
      <c r="H98" s="267"/>
      <c r="I98" s="267"/>
    </row>
    <row r="99" spans="1:9">
      <c r="H99" s="267"/>
      <c r="I99" s="267"/>
    </row>
    <row r="100" spans="1:9">
      <c r="H100" s="267"/>
      <c r="I100" s="267"/>
    </row>
    <row r="101" spans="1:9" s="430" customFormat="1">
      <c r="A101" s="64"/>
      <c r="B101" s="64"/>
      <c r="C101" s="144" t="str">
        <f>C53</f>
        <v>(CA. KESHAV GUPTA)</v>
      </c>
      <c r="D101" s="144"/>
      <c r="E101" s="144" t="str">
        <f t="shared" ref="E101:E102" si="3">E53</f>
        <v>ASHWANI KUMAR SINGLA</v>
      </c>
      <c r="F101" s="144"/>
      <c r="G101" s="144"/>
      <c r="H101" s="144" t="str">
        <f t="shared" ref="H101:H102" si="4">H53</f>
        <v>ASHWANI KUMAR SINGLA</v>
      </c>
      <c r="I101" s="144"/>
    </row>
    <row r="102" spans="1:9" s="430" customFormat="1">
      <c r="A102" s="64"/>
      <c r="B102" s="64"/>
      <c r="C102" s="144" t="str">
        <f>C54</f>
        <v>AUDITOR</v>
      </c>
      <c r="D102" s="144"/>
      <c r="E102" s="144" t="str">
        <f t="shared" si="3"/>
        <v>PROPRIETOR</v>
      </c>
      <c r="F102" s="144"/>
      <c r="G102" s="144"/>
      <c r="H102" s="144" t="str">
        <f t="shared" si="4"/>
        <v>PROPRIETOR</v>
      </c>
      <c r="I102" s="144"/>
    </row>
    <row r="103" spans="1:9" s="430" customFormat="1">
      <c r="A103" s="64"/>
      <c r="B103" s="64"/>
      <c r="C103" s="64"/>
      <c r="D103" s="64"/>
      <c r="E103" s="144"/>
      <c r="F103" s="144"/>
      <c r="G103" s="64"/>
      <c r="H103" s="144"/>
      <c r="I103" s="144"/>
    </row>
    <row r="104" spans="1:9">
      <c r="H104" s="267"/>
      <c r="I104" s="267"/>
    </row>
    <row r="105" spans="1:9">
      <c r="H105" s="267"/>
      <c r="I105" s="267"/>
    </row>
    <row r="106" spans="1:9">
      <c r="H106" s="267"/>
      <c r="I106" s="267"/>
    </row>
    <row r="107" spans="1:9">
      <c r="H107" s="267"/>
      <c r="I107" s="267"/>
    </row>
    <row r="108" spans="1:9">
      <c r="H108" s="267"/>
      <c r="I108" s="267"/>
    </row>
    <row r="109" spans="1:9">
      <c r="H109" s="267"/>
      <c r="I109" s="267"/>
    </row>
    <row r="110" spans="1:9">
      <c r="H110" s="267"/>
      <c r="I110" s="267"/>
    </row>
    <row r="111" spans="1:9">
      <c r="H111" s="267"/>
      <c r="I111" s="267"/>
    </row>
    <row r="112" spans="1:9">
      <c r="H112" s="267"/>
      <c r="I112" s="267"/>
    </row>
    <row r="113" spans="8:9">
      <c r="H113" s="267"/>
      <c r="I113" s="267"/>
    </row>
    <row r="114" spans="8:9">
      <c r="H114" s="267"/>
      <c r="I114" s="267"/>
    </row>
    <row r="115" spans="8:9">
      <c r="H115" s="267"/>
      <c r="I115" s="267"/>
    </row>
    <row r="116" spans="8:9">
      <c r="H116" s="267"/>
      <c r="I116" s="267"/>
    </row>
    <row r="117" spans="8:9">
      <c r="H117" s="267"/>
      <c r="I117" s="267"/>
    </row>
    <row r="118" spans="8:9">
      <c r="H118" s="267"/>
      <c r="I118" s="267"/>
    </row>
    <row r="119" spans="8:9">
      <c r="H119" s="267"/>
      <c r="I119" s="267"/>
    </row>
    <row r="120" spans="8:9">
      <c r="H120" s="267"/>
      <c r="I120" s="267"/>
    </row>
    <row r="121" spans="8:9">
      <c r="H121" s="267"/>
      <c r="I121" s="267"/>
    </row>
    <row r="122" spans="8:9">
      <c r="H122" s="267"/>
      <c r="I122" s="267"/>
    </row>
    <row r="123" spans="8:9">
      <c r="H123" s="267"/>
      <c r="I123" s="267"/>
    </row>
    <row r="124" spans="8:9">
      <c r="H124" s="267"/>
      <c r="I124" s="267"/>
    </row>
    <row r="125" spans="8:9">
      <c r="H125" s="267"/>
      <c r="I125" s="267"/>
    </row>
    <row r="126" spans="8:9">
      <c r="H126" s="267"/>
      <c r="I126" s="267"/>
    </row>
    <row r="127" spans="8:9">
      <c r="H127" s="267"/>
      <c r="I127" s="267"/>
    </row>
    <row r="128" spans="8:9">
      <c r="H128" s="267"/>
      <c r="I128" s="267"/>
    </row>
    <row r="129" spans="8:9">
      <c r="H129" s="267"/>
      <c r="I129" s="267"/>
    </row>
    <row r="130" spans="8:9">
      <c r="H130" s="267"/>
      <c r="I130" s="267"/>
    </row>
    <row r="131" spans="8:9">
      <c r="H131" s="267"/>
      <c r="I131" s="267"/>
    </row>
    <row r="132" spans="8:9">
      <c r="H132" s="267"/>
      <c r="I132" s="267"/>
    </row>
    <row r="133" spans="8:9">
      <c r="H133" s="267"/>
      <c r="I133" s="267"/>
    </row>
    <row r="134" spans="8:9">
      <c r="H134" s="267"/>
      <c r="I134" s="267"/>
    </row>
    <row r="135" spans="8:9">
      <c r="H135" s="267"/>
      <c r="I135" s="267"/>
    </row>
    <row r="136" spans="8:9">
      <c r="H136" s="267"/>
      <c r="I136" s="267"/>
    </row>
    <row r="137" spans="8:9">
      <c r="H137" s="267"/>
      <c r="I137" s="267"/>
    </row>
    <row r="138" spans="8:9">
      <c r="H138" s="267"/>
      <c r="I138" s="267"/>
    </row>
  </sheetData>
  <mergeCells count="1">
    <mergeCell ref="H19:I19"/>
  </mergeCells>
  <pageMargins left="0.7" right="0.7" top="0.75" bottom="0.75" header="0.3" footer="0.3"/>
  <pageSetup paperSize="9" fitToHeight="0" orientation="portrait" r:id="rId1"/>
  <headerFooter alignWithMargins="0"/>
  <rowBreaks count="1" manualBreakCount="1">
    <brk id="85"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BBF5-D1CA-46CC-BDEF-D0C5E554D27E}">
  <sheetPr>
    <tabColor rgb="FF92D050"/>
  </sheetPr>
  <dimension ref="B1:K150"/>
  <sheetViews>
    <sheetView view="pageBreakPreview" topLeftCell="A5" zoomScaleNormal="100" zoomScaleSheetLayoutView="100" workbookViewId="0">
      <selection activeCell="I20" sqref="I20"/>
    </sheetView>
  </sheetViews>
  <sheetFormatPr defaultColWidth="11.5546875" defaultRowHeight="13.2"/>
  <cols>
    <col min="1" max="1" width="2.109375" style="64" customWidth="1"/>
    <col min="2" max="2" width="4.33203125" style="64" customWidth="1"/>
    <col min="3" max="3" width="45" style="64" customWidth="1"/>
    <col min="4" max="5" width="18.5546875" style="64" customWidth="1"/>
    <col min="6" max="6" width="18.109375" style="64" customWidth="1"/>
    <col min="7" max="8" width="19.33203125" style="64" customWidth="1"/>
    <col min="9" max="9" width="11.5546875" style="64"/>
    <col min="10" max="10" width="12.44140625" style="64" bestFit="1" customWidth="1"/>
    <col min="11" max="16384" width="11.5546875" style="64"/>
  </cols>
  <sheetData>
    <row r="1" spans="2:11">
      <c r="B1" s="67"/>
      <c r="C1" s="67" t="str">
        <f>'BS Assets'!C1</f>
        <v>SINGLA STEEL CORPORATION</v>
      </c>
      <c r="D1" s="67"/>
      <c r="E1" s="67"/>
      <c r="F1" s="67"/>
      <c r="G1" s="67"/>
      <c r="H1" s="67"/>
    </row>
    <row r="2" spans="2:11">
      <c r="C2" s="67" t="str">
        <f>'BS Assets'!C2</f>
        <v>Notes to Financial Statements for the year ended 31.03.2025</v>
      </c>
      <c r="D2" s="67"/>
      <c r="E2" s="67"/>
      <c r="F2" s="67"/>
    </row>
    <row r="3" spans="2:11">
      <c r="C3" s="67"/>
      <c r="D3" s="67"/>
      <c r="E3" s="67"/>
      <c r="F3" s="67"/>
    </row>
    <row r="4" spans="2:11">
      <c r="B4" s="133">
        <f>+PL!C8</f>
        <v>12</v>
      </c>
      <c r="C4" s="67" t="s">
        <v>272</v>
      </c>
      <c r="D4" s="67"/>
      <c r="E4" s="69" t="str">
        <f>'BS Assets'!F12</f>
        <v>(Amount in INR)</v>
      </c>
      <c r="F4" s="67"/>
    </row>
    <row r="5" spans="2:11" ht="51" customHeight="1">
      <c r="B5" s="201"/>
      <c r="C5" s="203" t="s">
        <v>97</v>
      </c>
      <c r="D5" s="289" t="str">
        <f>PL!D6</f>
        <v>For the year ended 31.03.2025</v>
      </c>
      <c r="E5" s="289" t="str">
        <f>PL!E6</f>
        <v>For the year ended 31.03.2024</v>
      </c>
      <c r="F5" s="380"/>
      <c r="G5" s="289" t="str">
        <f>PL!G6</f>
        <v>For the year ended 31.03.2025
Amount (Rs.)</v>
      </c>
      <c r="H5" s="289" t="str">
        <f>PL!H6</f>
        <v>For the year ended 31.03.2024
Amount (Rs.)</v>
      </c>
    </row>
    <row r="6" spans="2:11" hidden="1">
      <c r="B6" s="230"/>
      <c r="C6" s="276"/>
      <c r="D6" s="449"/>
      <c r="E6" s="449"/>
      <c r="F6" s="275"/>
      <c r="G6" s="450"/>
      <c r="H6" s="451"/>
    </row>
    <row r="7" spans="2:11">
      <c r="B7" s="230" t="s">
        <v>167</v>
      </c>
      <c r="C7" s="276" t="s">
        <v>273</v>
      </c>
      <c r="D7" s="452">
        <f>G7/'My Contect'!$E$2</f>
        <v>348717955.33999997</v>
      </c>
      <c r="E7" s="449">
        <f>H7/'My Contect'!$E$2</f>
        <v>520171626</v>
      </c>
      <c r="F7" s="275"/>
      <c r="G7" s="453">
        <f>SUMIFS('Trial 2025'!H:H,'Trial 2025'!A:A,'PL Det'!C7)</f>
        <v>348717955.33999997</v>
      </c>
      <c r="H7" s="454">
        <v>520171626</v>
      </c>
    </row>
    <row r="8" spans="2:11">
      <c r="B8" s="306"/>
      <c r="C8" s="215"/>
      <c r="D8" s="156"/>
      <c r="E8" s="261"/>
      <c r="G8" s="226"/>
      <c r="H8" s="227"/>
    </row>
    <row r="9" spans="2:11" ht="13.8" thickBot="1">
      <c r="B9" s="307"/>
      <c r="C9" s="211" t="s">
        <v>185</v>
      </c>
      <c r="D9" s="455">
        <f>SUM(D7:D8)</f>
        <v>348717955.33999997</v>
      </c>
      <c r="E9" s="265">
        <f>SUM(E7:E8)</f>
        <v>520171626</v>
      </c>
      <c r="F9" s="67"/>
      <c r="G9" s="455">
        <f>SUM(G7:G8)</f>
        <v>348717955.33999997</v>
      </c>
      <c r="H9" s="456">
        <f>SUM(H7:H8)</f>
        <v>520171626</v>
      </c>
      <c r="J9" s="101">
        <f>G9-'Trial 2025'!H173</f>
        <v>0</v>
      </c>
      <c r="K9" s="64" t="s">
        <v>274</v>
      </c>
    </row>
    <row r="10" spans="2:11" ht="13.8" thickTop="1">
      <c r="B10" s="267"/>
      <c r="C10" s="67"/>
      <c r="D10" s="457"/>
      <c r="E10" s="457"/>
      <c r="F10" s="67"/>
      <c r="G10" s="382"/>
      <c r="H10" s="458"/>
    </row>
    <row r="12" spans="2:11">
      <c r="B12" s="133">
        <f>+PL!C9</f>
        <v>13</v>
      </c>
      <c r="C12" s="67" t="s">
        <v>275</v>
      </c>
      <c r="D12" s="67"/>
      <c r="E12" s="69" t="str">
        <f>E4</f>
        <v>(Amount in INR)</v>
      </c>
      <c r="F12" s="67"/>
    </row>
    <row r="13" spans="2:11" ht="53.25" customHeight="1">
      <c r="B13" s="201"/>
      <c r="C13" s="203" t="s">
        <v>97</v>
      </c>
      <c r="D13" s="289" t="str">
        <f>D5</f>
        <v>For the year ended 31.03.2025</v>
      </c>
      <c r="E13" s="289" t="str">
        <f>E5</f>
        <v>For the year ended 31.03.2024</v>
      </c>
      <c r="F13" s="380"/>
      <c r="G13" s="289" t="str">
        <f>G5</f>
        <v>For the year ended 31.03.2025
Amount (Rs.)</v>
      </c>
      <c r="H13" s="289" t="str">
        <f>H5</f>
        <v>For the year ended 31.03.2024
Amount (Rs.)</v>
      </c>
    </row>
    <row r="14" spans="2:11">
      <c r="B14" s="206" t="s">
        <v>167</v>
      </c>
      <c r="C14" s="275" t="s">
        <v>276</v>
      </c>
      <c r="D14" s="449">
        <f>G14/'My Contect'!$E$2</f>
        <v>5483</v>
      </c>
      <c r="E14" s="98">
        <f>H14/'My Contect'!$E$2</f>
        <v>70853</v>
      </c>
      <c r="F14" s="275"/>
      <c r="G14" s="453">
        <f>SUMIFS('Trial 2025'!H:H,'Trial 2025'!A:A,'PL Det'!C14)</f>
        <v>5483</v>
      </c>
      <c r="H14" s="454">
        <v>70853</v>
      </c>
    </row>
    <row r="15" spans="2:11" hidden="1">
      <c r="B15" s="206" t="s">
        <v>190</v>
      </c>
      <c r="C15" s="275" t="s">
        <v>277</v>
      </c>
      <c r="D15" s="449">
        <f>G15/'My Contect'!$E$2</f>
        <v>0</v>
      </c>
      <c r="E15" s="98">
        <f>H15/'My Contect'!$E$2</f>
        <v>0</v>
      </c>
      <c r="F15" s="86"/>
      <c r="G15" s="453">
        <f>SUMIFS('Trial 2025'!H:H,'Trial 2025'!A:A,'PL Det'!C15)</f>
        <v>0</v>
      </c>
      <c r="H15" s="454"/>
    </row>
    <row r="16" spans="2:11" hidden="1">
      <c r="B16" s="206" t="s">
        <v>248</v>
      </c>
      <c r="C16" s="275" t="s">
        <v>278</v>
      </c>
      <c r="D16" s="449">
        <f>G16/'My Contect'!$E$2</f>
        <v>0</v>
      </c>
      <c r="E16" s="98">
        <f>H16/'My Contect'!$E$2</f>
        <v>0</v>
      </c>
      <c r="F16" s="86"/>
      <c r="G16" s="453">
        <f>SUMIFS('Trial 2025'!H:H,'Trial 2025'!A:A,'PL Det'!C16)</f>
        <v>0</v>
      </c>
      <c r="H16" s="454"/>
    </row>
    <row r="17" spans="2:10">
      <c r="B17" s="294"/>
      <c r="C17" s="459"/>
      <c r="D17" s="113"/>
      <c r="E17" s="227"/>
      <c r="G17" s="227"/>
      <c r="H17" s="227"/>
    </row>
    <row r="18" spans="2:10" ht="13.8" thickBot="1">
      <c r="B18" s="307"/>
      <c r="C18" s="211" t="s">
        <v>185</v>
      </c>
      <c r="D18" s="460">
        <f>SUM(D14:D17)</f>
        <v>5483</v>
      </c>
      <c r="E18" s="460">
        <f>SUM(E14:E17)</f>
        <v>70853</v>
      </c>
      <c r="F18" s="67"/>
      <c r="G18" s="456">
        <f>SUM(G14:G17)</f>
        <v>5483</v>
      </c>
      <c r="H18" s="456">
        <f>SUM(H14:H17)</f>
        <v>70853</v>
      </c>
    </row>
    <row r="19" spans="2:10" ht="13.8" thickTop="1">
      <c r="B19" s="267"/>
      <c r="C19" s="67"/>
      <c r="D19" s="67"/>
      <c r="E19" s="67"/>
      <c r="F19" s="67"/>
      <c r="G19" s="311"/>
      <c r="H19" s="311"/>
    </row>
    <row r="20" spans="2:10" hidden="1">
      <c r="B20" s="267"/>
      <c r="C20" s="67"/>
      <c r="D20" s="67"/>
      <c r="E20" s="67"/>
      <c r="F20" s="67"/>
      <c r="G20" s="311"/>
      <c r="H20" s="311"/>
    </row>
    <row r="21" spans="2:10" hidden="1">
      <c r="B21" s="461">
        <f>PL!C13</f>
        <v>13</v>
      </c>
      <c r="C21" s="428" t="s">
        <v>279</v>
      </c>
      <c r="D21" s="67"/>
      <c r="E21" s="69" t="str">
        <f>E12</f>
        <v>(Amount in INR)</v>
      </c>
      <c r="F21" s="67"/>
    </row>
    <row r="22" spans="2:10" ht="53.25" hidden="1" customHeight="1">
      <c r="B22" s="201"/>
      <c r="C22" s="203" t="s">
        <v>97</v>
      </c>
      <c r="D22" s="289" t="str">
        <f>D13</f>
        <v>For the year ended 31.03.2025</v>
      </c>
      <c r="E22" s="289" t="str">
        <f>E13</f>
        <v>For the year ended 31.03.2024</v>
      </c>
      <c r="F22" s="380"/>
      <c r="G22" s="289" t="str">
        <f>G13</f>
        <v>For the year ended 31.03.2025
Amount (Rs.)</v>
      </c>
      <c r="H22" s="289" t="str">
        <f>H13</f>
        <v>For the year ended 31.03.2024
Amount (Rs.)</v>
      </c>
    </row>
    <row r="23" spans="2:10" hidden="1">
      <c r="B23" s="462"/>
      <c r="C23" s="221"/>
      <c r="D23" s="463"/>
      <c r="E23" s="463"/>
      <c r="F23" s="221"/>
      <c r="G23" s="463"/>
      <c r="H23" s="463"/>
    </row>
    <row r="24" spans="2:10" hidden="1">
      <c r="B24" s="206" t="s">
        <v>167</v>
      </c>
      <c r="C24" s="276" t="s">
        <v>280</v>
      </c>
      <c r="D24" s="449">
        <f>G24/'My Contect'!$E$2</f>
        <v>0</v>
      </c>
      <c r="E24" s="98">
        <f>H24/'My Contect'!$E$2</f>
        <v>0</v>
      </c>
      <c r="F24" s="275"/>
      <c r="G24" s="454">
        <f>SUMIFS('Trial 2025'!G:G,'Trial 2025'!A:A,'PL Det'!C24)</f>
        <v>0</v>
      </c>
      <c r="H24" s="454">
        <f>SUMIFS('Trial 2025'!I:I,'Trial 2025'!A:A,'PL Det'!C24)</f>
        <v>0</v>
      </c>
    </row>
    <row r="25" spans="2:10" hidden="1">
      <c r="B25" s="294"/>
      <c r="C25" s="260"/>
      <c r="D25" s="98"/>
      <c r="E25" s="227"/>
      <c r="F25" s="86"/>
      <c r="G25" s="227"/>
      <c r="H25" s="227"/>
    </row>
    <row r="26" spans="2:10" ht="13.8" hidden="1" thickBot="1">
      <c r="B26" s="307"/>
      <c r="C26" s="210" t="s">
        <v>185</v>
      </c>
      <c r="D26" s="460">
        <f>SUM(D24:D25)</f>
        <v>0</v>
      </c>
      <c r="E26" s="460">
        <f>SUM(E24:E25)</f>
        <v>0</v>
      </c>
      <c r="F26" s="216"/>
      <c r="G26" s="456">
        <f>SUM(G24:G25)</f>
        <v>0</v>
      </c>
      <c r="H26" s="456">
        <f>SUM(H24:H25)</f>
        <v>0</v>
      </c>
    </row>
    <row r="27" spans="2:10">
      <c r="B27" s="267"/>
      <c r="C27" s="67"/>
      <c r="D27" s="127"/>
      <c r="E27" s="127"/>
      <c r="F27" s="67"/>
      <c r="G27" s="458"/>
      <c r="H27" s="458"/>
    </row>
    <row r="28" spans="2:10">
      <c r="B28" s="461">
        <f>PL!C14</f>
        <v>14</v>
      </c>
      <c r="C28" s="428" t="s">
        <v>281</v>
      </c>
      <c r="D28" s="67"/>
      <c r="E28" s="69" t="str">
        <f>E21</f>
        <v>(Amount in INR)</v>
      </c>
      <c r="F28" s="67"/>
    </row>
    <row r="29" spans="2:10" ht="38.25" customHeight="1">
      <c r="B29" s="201"/>
      <c r="C29" s="203" t="s">
        <v>97</v>
      </c>
      <c r="D29" s="289" t="str">
        <f>D22</f>
        <v>For the year ended 31.03.2025</v>
      </c>
      <c r="E29" s="289" t="str">
        <f>E22</f>
        <v>For the year ended 31.03.2024</v>
      </c>
      <c r="F29" s="380"/>
      <c r="G29" s="289" t="str">
        <f>G22</f>
        <v>For the year ended 31.03.2025
Amount (Rs.)</v>
      </c>
      <c r="H29" s="289" t="str">
        <f>H22</f>
        <v>For the year ended 31.03.2024
Amount (Rs.)</v>
      </c>
    </row>
    <row r="30" spans="2:10">
      <c r="B30" s="206"/>
      <c r="C30" s="208"/>
      <c r="D30" s="179"/>
      <c r="E30" s="98"/>
      <c r="F30" s="290"/>
      <c r="G30" s="464"/>
      <c r="H30" s="465"/>
    </row>
    <row r="31" spans="2:10">
      <c r="B31" s="206" t="s">
        <v>167</v>
      </c>
      <c r="C31" s="276" t="s">
        <v>282</v>
      </c>
      <c r="D31" s="98">
        <f>G31/'My Contect'!$E$2</f>
        <v>340961288.05000001</v>
      </c>
      <c r="E31" s="98">
        <f>H31/'My Contect'!$E$2</f>
        <v>510956580.12</v>
      </c>
      <c r="F31" s="208"/>
      <c r="G31" s="227">
        <f>SUMIFS('Trial 2025'!G:G,'Trial 2025'!A:A,'PL Det'!C31)</f>
        <v>340961288.05000001</v>
      </c>
      <c r="H31" s="227">
        <v>510956580.12</v>
      </c>
    </row>
    <row r="32" spans="2:10">
      <c r="B32" s="206" t="s">
        <v>190</v>
      </c>
      <c r="C32" s="466" t="s">
        <v>283</v>
      </c>
      <c r="D32" s="98">
        <f>G32/'My Contect'!$E$2</f>
        <v>372706</v>
      </c>
      <c r="E32" s="98">
        <f>H32/'My Contect'!$E$2</f>
        <v>792778</v>
      </c>
      <c r="F32" s="208"/>
      <c r="G32" s="227">
        <f>SUMIFS('Trial 2025'!G:G,'Trial 2025'!A:A,'PL Det'!C32)</f>
        <v>372706</v>
      </c>
      <c r="H32" s="227">
        <v>792778</v>
      </c>
      <c r="J32" s="101"/>
    </row>
    <row r="33" spans="2:8">
      <c r="B33" s="294"/>
      <c r="C33" s="260"/>
      <c r="D33" s="98"/>
      <c r="E33" s="227"/>
      <c r="F33" s="86"/>
      <c r="G33" s="227"/>
      <c r="H33" s="227"/>
    </row>
    <row r="34" spans="2:8" ht="13.8" thickBot="1">
      <c r="B34" s="307"/>
      <c r="C34" s="210" t="s">
        <v>185</v>
      </c>
      <c r="D34" s="460">
        <f>SUM(D30:D32)</f>
        <v>341333994.05000001</v>
      </c>
      <c r="E34" s="460">
        <f>SUM(E30:E32)</f>
        <v>511749358.12</v>
      </c>
      <c r="F34" s="216"/>
      <c r="G34" s="456">
        <f>SUM(G30:G32)</f>
        <v>341333994.05000001</v>
      </c>
      <c r="H34" s="456">
        <f>SUM(H30:H32)</f>
        <v>511749358.12</v>
      </c>
    </row>
    <row r="35" spans="2:8" ht="13.8" thickTop="1">
      <c r="B35" s="267"/>
      <c r="G35" s="100"/>
      <c r="H35" s="100"/>
    </row>
    <row r="36" spans="2:8">
      <c r="B36" s="267"/>
      <c r="G36" s="267"/>
      <c r="H36" s="267"/>
    </row>
    <row r="37" spans="2:8">
      <c r="B37" s="133">
        <f>+PL!C15</f>
        <v>15</v>
      </c>
      <c r="C37" s="67" t="str">
        <f>PL!B15</f>
        <v>Changes in Inventories of Finished Goods,
Work-in-Progress and Stock-in-Trade</v>
      </c>
      <c r="D37" s="67"/>
      <c r="F37" s="67"/>
      <c r="G37" s="267"/>
      <c r="H37" s="267"/>
    </row>
    <row r="38" spans="2:8">
      <c r="B38" s="133"/>
      <c r="C38" s="67"/>
      <c r="D38" s="67"/>
      <c r="E38" s="69" t="str">
        <f>E21</f>
        <v>(Amount in INR)</v>
      </c>
      <c r="F38" s="67"/>
      <c r="G38" s="267"/>
      <c r="H38" s="267"/>
    </row>
    <row r="39" spans="2:8" ht="39.6">
      <c r="B39" s="201"/>
      <c r="C39" s="203" t="s">
        <v>97</v>
      </c>
      <c r="D39" s="289" t="str">
        <f>D13</f>
        <v>For the year ended 31.03.2025</v>
      </c>
      <c r="E39" s="289" t="str">
        <f>E13</f>
        <v>For the year ended 31.03.2024</v>
      </c>
      <c r="F39" s="380"/>
      <c r="G39" s="289" t="str">
        <f>G13</f>
        <v>For the year ended 31.03.2025
Amount (Rs.)</v>
      </c>
      <c r="H39" s="289" t="str">
        <f>H13</f>
        <v>For the year ended 31.03.2024
Amount (Rs.)</v>
      </c>
    </row>
    <row r="40" spans="2:8">
      <c r="B40" s="467"/>
      <c r="C40" s="273" t="s">
        <v>284</v>
      </c>
      <c r="D40" s="468"/>
      <c r="E40" s="86"/>
      <c r="F40" s="273"/>
      <c r="G40" s="464"/>
      <c r="H40" s="465"/>
    </row>
    <row r="41" spans="2:8" hidden="1">
      <c r="B41" s="467"/>
      <c r="C41" s="290" t="s">
        <v>247</v>
      </c>
      <c r="D41" s="157">
        <f>G41/'My Contect'!$E$2</f>
        <v>0</v>
      </c>
      <c r="E41" s="227">
        <v>0</v>
      </c>
      <c r="F41" s="273"/>
      <c r="G41" s="447">
        <f>H46</f>
        <v>0</v>
      </c>
      <c r="H41" s="227"/>
    </row>
    <row r="42" spans="2:8" hidden="1">
      <c r="B42" s="467"/>
      <c r="C42" s="290" t="s">
        <v>249</v>
      </c>
      <c r="D42" s="157">
        <f>G42/'My Contect'!$E$2</f>
        <v>0</v>
      </c>
      <c r="E42" s="98">
        <f>H42/'My Contect'!$E$2</f>
        <v>0</v>
      </c>
      <c r="F42" s="290"/>
      <c r="G42" s="447">
        <f>H47</f>
        <v>0</v>
      </c>
      <c r="H42" s="98">
        <v>0</v>
      </c>
    </row>
    <row r="43" spans="2:8">
      <c r="B43" s="467"/>
      <c r="C43" s="290" t="s">
        <v>250</v>
      </c>
      <c r="D43" s="157">
        <f>G43/'My Contect'!$E$2</f>
        <v>3580000</v>
      </c>
      <c r="E43" s="98">
        <f>H43/'My Contect'!$E$2</f>
        <v>6140576</v>
      </c>
      <c r="F43" s="290"/>
      <c r="G43" s="447">
        <f>H48</f>
        <v>3580000</v>
      </c>
      <c r="H43" s="98">
        <f>'Trial 2025'!I78</f>
        <v>6140576</v>
      </c>
    </row>
    <row r="44" spans="2:8">
      <c r="B44" s="467"/>
      <c r="C44" s="290"/>
      <c r="D44" s="157"/>
      <c r="E44" s="98"/>
      <c r="F44" s="290"/>
      <c r="G44" s="157"/>
      <c r="H44" s="98"/>
    </row>
    <row r="45" spans="2:8">
      <c r="B45" s="467"/>
      <c r="C45" s="273" t="s">
        <v>285</v>
      </c>
      <c r="D45" s="469"/>
      <c r="E45" s="227"/>
      <c r="F45" s="273"/>
      <c r="G45" s="469"/>
      <c r="H45" s="227"/>
    </row>
    <row r="46" spans="2:8" hidden="1">
      <c r="B46" s="467"/>
      <c r="C46" s="290" t="s">
        <v>247</v>
      </c>
      <c r="D46" s="157">
        <f>G46/'My Contect'!$E$2</f>
        <v>0</v>
      </c>
      <c r="E46" s="98">
        <f>H46/'My Contect'!$E$2</f>
        <v>0</v>
      </c>
      <c r="F46" s="273"/>
      <c r="G46" s="157">
        <f>G56</f>
        <v>0</v>
      </c>
      <c r="H46" s="227"/>
    </row>
    <row r="47" spans="2:8" hidden="1">
      <c r="B47" s="467"/>
      <c r="C47" s="290" t="s">
        <v>249</v>
      </c>
      <c r="D47" s="157">
        <f>G47/'My Contect'!$E$2</f>
        <v>0</v>
      </c>
      <c r="E47" s="98">
        <f>H47/'My Contect'!$E$2</f>
        <v>0</v>
      </c>
      <c r="F47" s="290"/>
      <c r="G47" s="98">
        <f>G60</f>
        <v>0</v>
      </c>
      <c r="H47" s="98"/>
    </row>
    <row r="48" spans="2:8">
      <c r="B48" s="467"/>
      <c r="C48" s="290" t="s">
        <v>250</v>
      </c>
      <c r="D48" s="157">
        <f>G48/'My Contect'!$E$2</f>
        <v>954550.00000000012</v>
      </c>
      <c r="E48" s="98">
        <f>H48/'My Contect'!$E$2</f>
        <v>3580000</v>
      </c>
      <c r="F48" s="290"/>
      <c r="G48" s="98">
        <f>12060*(39.15+40)+1</f>
        <v>954550.00000000012</v>
      </c>
      <c r="H48" s="98">
        <v>3580000</v>
      </c>
    </row>
    <row r="49" spans="2:8">
      <c r="B49" s="423"/>
      <c r="C49" s="215"/>
      <c r="D49" s="157"/>
      <c r="E49" s="227"/>
      <c r="F49" s="215"/>
      <c r="G49" s="447"/>
      <c r="H49" s="227"/>
    </row>
    <row r="50" spans="2:8" ht="13.8" thickBot="1">
      <c r="B50" s="209"/>
      <c r="C50" s="211" t="s">
        <v>185</v>
      </c>
      <c r="D50" s="470">
        <f>SUM(D41:D43)-SUM(D46:D48)</f>
        <v>2625450</v>
      </c>
      <c r="E50" s="470">
        <f>SUM(E41:E43)-SUM(E46:E48)</f>
        <v>2560576</v>
      </c>
      <c r="F50" s="216">
        <f>SUM(F70:F76)</f>
        <v>0</v>
      </c>
      <c r="G50" s="470">
        <f>SUM(G41:G43)-SUM(G46:G48)</f>
        <v>2625450</v>
      </c>
      <c r="H50" s="470">
        <f>SUM(H41:H43)-SUM(H46:H48)</f>
        <v>2560576</v>
      </c>
    </row>
    <row r="51" spans="2:8" ht="13.8" hidden="1" thickTop="1">
      <c r="B51" s="423"/>
      <c r="C51" s="215"/>
      <c r="D51" s="157"/>
      <c r="E51" s="227"/>
      <c r="F51" s="215"/>
      <c r="G51" s="447"/>
      <c r="H51" s="227"/>
    </row>
    <row r="52" spans="2:8" ht="13.8" hidden="1" thickTop="1">
      <c r="B52" s="423"/>
      <c r="C52" s="216" t="s">
        <v>286</v>
      </c>
      <c r="D52" s="157"/>
      <c r="E52" s="227"/>
      <c r="F52" s="215"/>
      <c r="G52" s="447"/>
      <c r="H52" s="227"/>
    </row>
    <row r="53" spans="2:8" ht="13.8" hidden="1" thickTop="1">
      <c r="B53" s="423"/>
      <c r="C53" s="216" t="s">
        <v>247</v>
      </c>
      <c r="D53" s="157"/>
      <c r="E53" s="227"/>
      <c r="F53" s="215"/>
      <c r="G53" s="447"/>
      <c r="H53" s="227"/>
    </row>
    <row r="54" spans="2:8" ht="13.8" hidden="1" thickTop="1">
      <c r="B54" s="423"/>
      <c r="C54" s="253" t="s">
        <v>287</v>
      </c>
      <c r="D54" s="157">
        <f>G54/'My Contect'!$E$2</f>
        <v>0</v>
      </c>
      <c r="E54" s="227">
        <f>H54/'My Contect'!$E$2</f>
        <v>0</v>
      </c>
      <c r="F54" s="215"/>
      <c r="G54" s="447">
        <v>0</v>
      </c>
      <c r="H54" s="227"/>
    </row>
    <row r="55" spans="2:8" ht="13.8" hidden="1" thickTop="1">
      <c r="B55" s="423"/>
      <c r="C55" s="253" t="s">
        <v>288</v>
      </c>
      <c r="D55" s="157"/>
      <c r="E55" s="227"/>
      <c r="F55" s="215"/>
      <c r="G55" s="447"/>
      <c r="H55" s="227"/>
    </row>
    <row r="56" spans="2:8" ht="13.8" hidden="1" thickTop="1">
      <c r="B56" s="423"/>
      <c r="C56" s="216" t="s">
        <v>185</v>
      </c>
      <c r="D56" s="471">
        <f>SUM(D54:D55)</f>
        <v>0</v>
      </c>
      <c r="E56" s="471">
        <f>SUM(E54:E55)</f>
        <v>0</v>
      </c>
      <c r="F56" s="216">
        <f>SUM(F76:F76)</f>
        <v>0</v>
      </c>
      <c r="G56" s="471">
        <f>SUM(G54:G55)</f>
        <v>0</v>
      </c>
      <c r="H56" s="471">
        <f>SUM(H54:H55)</f>
        <v>0</v>
      </c>
    </row>
    <row r="57" spans="2:8" ht="13.8" hidden="1" thickTop="1">
      <c r="B57" s="423"/>
      <c r="C57" s="216" t="s">
        <v>249</v>
      </c>
      <c r="D57" s="157"/>
      <c r="E57" s="227"/>
      <c r="F57" s="215"/>
      <c r="G57" s="447"/>
      <c r="H57" s="227"/>
    </row>
    <row r="58" spans="2:8" ht="13.8" hidden="1" thickTop="1">
      <c r="B58" s="423"/>
      <c r="C58" s="253" t="s">
        <v>287</v>
      </c>
      <c r="D58" s="157">
        <f>G58/'My Contect'!$E$2</f>
        <v>0</v>
      </c>
      <c r="E58" s="227">
        <f>H58/'My Contect'!$E$2</f>
        <v>0</v>
      </c>
      <c r="F58" s="215"/>
      <c r="G58" s="447"/>
      <c r="H58" s="227"/>
    </row>
    <row r="59" spans="2:8" ht="13.8" hidden="1" thickTop="1">
      <c r="B59" s="423"/>
      <c r="C59" s="253" t="s">
        <v>289</v>
      </c>
      <c r="D59" s="157">
        <f>G59/'My Contect'!$E$2</f>
        <v>0</v>
      </c>
      <c r="E59" s="227">
        <f>H59/'My Contect'!$E$2</f>
        <v>0</v>
      </c>
      <c r="F59" s="215"/>
      <c r="G59" s="447"/>
      <c r="H59" s="227"/>
    </row>
    <row r="60" spans="2:8" ht="13.8" hidden="1" thickTop="1">
      <c r="B60" s="423"/>
      <c r="C60" s="216" t="s">
        <v>185</v>
      </c>
      <c r="D60" s="471">
        <f>SUM(D58:D59)</f>
        <v>0</v>
      </c>
      <c r="E60" s="471">
        <f>SUM(E58:E58)</f>
        <v>0</v>
      </c>
      <c r="F60" s="216">
        <f>SUM(F41:F48)</f>
        <v>0</v>
      </c>
      <c r="G60" s="471">
        <f>SUM(G58:G59)</f>
        <v>0</v>
      </c>
      <c r="H60" s="471">
        <f>SUM(H58:H59)</f>
        <v>0</v>
      </c>
    </row>
    <row r="61" spans="2:8" ht="13.8" hidden="1" thickTop="1">
      <c r="B61" s="423"/>
      <c r="C61" s="216" t="s">
        <v>250</v>
      </c>
      <c r="D61" s="157"/>
      <c r="E61" s="227"/>
      <c r="F61" s="215"/>
      <c r="G61" s="447"/>
      <c r="H61" s="227"/>
    </row>
    <row r="62" spans="2:8" ht="13.8" hidden="1" thickTop="1">
      <c r="B62" s="423"/>
      <c r="C62" s="253" t="s">
        <v>287</v>
      </c>
      <c r="D62" s="157">
        <f>G62/'My Contect'!$E$2</f>
        <v>0</v>
      </c>
      <c r="E62" s="227">
        <f>H62/'My Contect'!$E$2</f>
        <v>0</v>
      </c>
      <c r="F62" s="215"/>
      <c r="G62" s="447"/>
      <c r="H62" s="227"/>
    </row>
    <row r="63" spans="2:8" ht="13.8" hidden="1" thickTop="1">
      <c r="B63" s="423"/>
      <c r="C63" s="253" t="s">
        <v>288</v>
      </c>
      <c r="D63" s="157"/>
      <c r="E63" s="227"/>
      <c r="F63" s="215"/>
      <c r="G63" s="447"/>
      <c r="H63" s="227"/>
    </row>
    <row r="64" spans="2:8" ht="13.8" hidden="1" thickTop="1">
      <c r="B64" s="423"/>
      <c r="C64" s="216" t="s">
        <v>185</v>
      </c>
      <c r="D64" s="471">
        <f>SUM(D62:D63)</f>
        <v>0</v>
      </c>
      <c r="E64" s="471">
        <f>SUM(E62:E63)</f>
        <v>0</v>
      </c>
      <c r="F64" s="216">
        <f>SUM(F46:F52)</f>
        <v>0</v>
      </c>
      <c r="G64" s="471">
        <f>SUM(G62:G63)</f>
        <v>0</v>
      </c>
      <c r="H64" s="471">
        <f>SUM(H62:H63)</f>
        <v>0</v>
      </c>
    </row>
    <row r="65" spans="2:8" ht="13.8" hidden="1" thickTop="1">
      <c r="B65" s="423"/>
      <c r="C65" s="253"/>
      <c r="D65" s="157"/>
      <c r="E65" s="227"/>
      <c r="F65" s="215"/>
      <c r="G65" s="447"/>
      <c r="H65" s="227"/>
    </row>
    <row r="66" spans="2:8" ht="13.8" hidden="1" thickTop="1">
      <c r="B66" s="277"/>
      <c r="C66" s="472" t="s">
        <v>185</v>
      </c>
      <c r="D66" s="471">
        <f>D56+D60+D64</f>
        <v>0</v>
      </c>
      <c r="E66" s="471">
        <f>E56+E60+E64</f>
        <v>0</v>
      </c>
      <c r="F66" s="472">
        <f>SUM(F40:F47)</f>
        <v>0</v>
      </c>
      <c r="G66" s="471">
        <f>G56+G60+G64</f>
        <v>0</v>
      </c>
      <c r="H66" s="471">
        <f>H56+H60+H64</f>
        <v>0</v>
      </c>
    </row>
    <row r="67" spans="2:8" ht="13.8" hidden="1" thickTop="1">
      <c r="C67" s="67"/>
      <c r="D67" s="457"/>
      <c r="E67" s="457"/>
      <c r="F67" s="67"/>
      <c r="G67" s="457"/>
      <c r="H67" s="457"/>
    </row>
    <row r="68" spans="2:8" ht="13.8" thickTop="1">
      <c r="C68" s="67"/>
      <c r="D68" s="457"/>
      <c r="E68" s="457"/>
      <c r="F68" s="67"/>
      <c r="G68" s="457"/>
      <c r="H68" s="457"/>
    </row>
    <row r="69" spans="2:8">
      <c r="C69" s="67"/>
      <c r="D69" s="67"/>
      <c r="E69" s="67"/>
      <c r="F69" s="67"/>
      <c r="G69" s="127">
        <f>SUM(G46:G48)-G66</f>
        <v>954550.00000000012</v>
      </c>
      <c r="H69" s="127">
        <f>SUM(H46:H48)-H66</f>
        <v>3580000</v>
      </c>
    </row>
    <row r="70" spans="2:8">
      <c r="B70" s="267"/>
      <c r="G70" s="267"/>
      <c r="H70" s="267"/>
    </row>
    <row r="71" spans="2:8">
      <c r="B71" s="267"/>
      <c r="G71" s="267"/>
      <c r="H71" s="267"/>
    </row>
    <row r="72" spans="2:8">
      <c r="C72" s="144" t="str">
        <f>'BS Assets'!C53</f>
        <v>(CA. KESHAV GUPTA)</v>
      </c>
      <c r="D72" s="144" t="str">
        <f>'BS Assets'!E101</f>
        <v>ASHWANI KUMAR SINGLA</v>
      </c>
      <c r="E72" s="144"/>
      <c r="G72" s="267"/>
      <c r="H72" s="267"/>
    </row>
    <row r="73" spans="2:8">
      <c r="C73" s="144" t="str">
        <f>'BS Assets'!C54</f>
        <v>AUDITOR</v>
      </c>
      <c r="D73" s="144" t="str">
        <f>'BS Assets'!E102</f>
        <v>PROPRIETOR</v>
      </c>
      <c r="E73" s="144"/>
      <c r="G73" s="267"/>
      <c r="H73" s="267"/>
    </row>
    <row r="74" spans="2:8">
      <c r="D74" s="144"/>
      <c r="E74" s="144"/>
      <c r="G74" s="267"/>
      <c r="H74" s="267"/>
    </row>
    <row r="75" spans="2:8">
      <c r="B75" s="267"/>
      <c r="C75" s="67" t="str">
        <f>C1</f>
        <v>SINGLA STEEL CORPORATION</v>
      </c>
      <c r="G75" s="267"/>
      <c r="H75" s="267"/>
    </row>
    <row r="76" spans="2:8">
      <c r="B76" s="267"/>
      <c r="C76" s="67" t="str">
        <f>C2</f>
        <v>Notes to Financial Statements for the year ended 31.03.2025</v>
      </c>
      <c r="G76" s="267"/>
      <c r="H76" s="267"/>
    </row>
    <row r="77" spans="2:8">
      <c r="C77" s="67"/>
      <c r="D77" s="67"/>
      <c r="E77" s="67"/>
      <c r="F77" s="67"/>
      <c r="G77" s="127"/>
      <c r="H77" s="127"/>
    </row>
    <row r="78" spans="2:8">
      <c r="B78" s="133">
        <f>PL!C16</f>
        <v>16</v>
      </c>
      <c r="C78" s="67" t="str">
        <f>PL!B16</f>
        <v>Employee Benefit Expense</v>
      </c>
      <c r="D78" s="67"/>
      <c r="E78" s="69" t="str">
        <f>E38</f>
        <v>(Amount in INR)</v>
      </c>
      <c r="F78" s="67"/>
      <c r="G78" s="267"/>
      <c r="H78" s="267"/>
    </row>
    <row r="79" spans="2:8" ht="39.6">
      <c r="B79" s="201"/>
      <c r="C79" s="203" t="s">
        <v>97</v>
      </c>
      <c r="D79" s="289" t="str">
        <f>D39</f>
        <v>For the year ended 31.03.2025</v>
      </c>
      <c r="E79" s="473" t="str">
        <f>E22</f>
        <v>For the year ended 31.03.2024</v>
      </c>
      <c r="F79" s="380"/>
      <c r="G79" s="289" t="str">
        <f>G39</f>
        <v>For the year ended 31.03.2025
Amount (Rs.)</v>
      </c>
      <c r="H79" s="473" t="str">
        <f>H22</f>
        <v>For the year ended 31.03.2024
Amount (Rs.)</v>
      </c>
    </row>
    <row r="80" spans="2:8">
      <c r="B80" s="206" t="s">
        <v>167</v>
      </c>
      <c r="C80" s="208" t="s">
        <v>290</v>
      </c>
      <c r="D80" s="98">
        <f>G80/'My Contect'!$E$2</f>
        <v>566883</v>
      </c>
      <c r="E80" s="98">
        <f>H80/'My Contect'!$E$2</f>
        <v>198358</v>
      </c>
      <c r="F80" s="208"/>
      <c r="G80" s="227">
        <f>SUMIFS('Trial 2025'!G:G,'Trial 2025'!A:A,'PL Det'!C80)</f>
        <v>566883</v>
      </c>
      <c r="H80" s="227">
        <f>SUMIFS('Trial 2025'!I:I,'Trial 2025'!A:A,'PL Det'!C80)</f>
        <v>198358</v>
      </c>
    </row>
    <row r="81" spans="2:8" hidden="1">
      <c r="B81" s="206" t="s">
        <v>190</v>
      </c>
      <c r="C81" s="208" t="s">
        <v>291</v>
      </c>
      <c r="D81" s="98">
        <f>G81/'My Contect'!$E$2</f>
        <v>0</v>
      </c>
      <c r="E81" s="98">
        <f>H81/'My Contect'!$E$2</f>
        <v>0</v>
      </c>
      <c r="F81" s="208"/>
      <c r="G81" s="227">
        <f>SUMIFS('Trial 2025'!G:G,'Trial 2025'!A:A,'PL Det'!C81)</f>
        <v>0</v>
      </c>
      <c r="H81" s="227">
        <f>SUMIFS('Trial 2025'!I:I,'Trial 2025'!A:A,'PL Det'!C81)</f>
        <v>0</v>
      </c>
    </row>
    <row r="82" spans="2:8" hidden="1">
      <c r="B82" s="206" t="s">
        <v>248</v>
      </c>
      <c r="C82" s="208" t="s">
        <v>292</v>
      </c>
      <c r="D82" s="98">
        <f>G82/'My Contect'!$E$2</f>
        <v>0</v>
      </c>
      <c r="E82" s="98">
        <f>H82/'My Contect'!$E$2</f>
        <v>0</v>
      </c>
      <c r="F82" s="208"/>
      <c r="G82" s="227">
        <f>SUMIFS('Trial 2025'!G:G,'Trial 2025'!A:A,'PL Det'!C82)</f>
        <v>0</v>
      </c>
      <c r="H82" s="227">
        <f>SUMIFS('Trial 2025'!I:I,'Trial 2025'!A:A,'PL Det'!C82)</f>
        <v>0</v>
      </c>
    </row>
    <row r="83" spans="2:8">
      <c r="B83" s="206"/>
      <c r="C83" s="208"/>
      <c r="D83" s="98"/>
      <c r="E83" s="98"/>
      <c r="F83" s="208"/>
      <c r="G83" s="227"/>
      <c r="H83" s="227"/>
    </row>
    <row r="84" spans="2:8" ht="13.8" thickBot="1">
      <c r="B84" s="209"/>
      <c r="C84" s="210" t="s">
        <v>185</v>
      </c>
      <c r="D84" s="176">
        <f>SUM(D80:D82)</f>
        <v>566883</v>
      </c>
      <c r="E84" s="176">
        <f>SUM(E80:E82)</f>
        <v>198358</v>
      </c>
      <c r="F84" s="67">
        <f>SUM(F80:F82)</f>
        <v>0</v>
      </c>
      <c r="G84" s="470">
        <f>SUM(G80:G82)</f>
        <v>566883</v>
      </c>
      <c r="H84" s="470">
        <f>SUM(H80:H82)</f>
        <v>198358</v>
      </c>
    </row>
    <row r="85" spans="2:8" ht="13.8" thickTop="1">
      <c r="C85" s="67"/>
      <c r="D85" s="67"/>
      <c r="E85" s="67"/>
      <c r="F85" s="67"/>
      <c r="G85" s="127"/>
      <c r="H85" s="127"/>
    </row>
    <row r="86" spans="2:8" hidden="1">
      <c r="C86" s="67"/>
      <c r="D86" s="67"/>
      <c r="E86" s="67"/>
      <c r="F86" s="67"/>
      <c r="G86" s="127"/>
      <c r="H86" s="127"/>
    </row>
    <row r="87" spans="2:8" hidden="1">
      <c r="C87" s="67"/>
      <c r="D87" s="67"/>
      <c r="E87" s="67"/>
      <c r="F87" s="67"/>
      <c r="G87" s="127"/>
      <c r="H87" s="127"/>
    </row>
    <row r="88" spans="2:8" hidden="1">
      <c r="C88" s="67"/>
      <c r="D88" s="67"/>
      <c r="E88" s="67"/>
      <c r="F88" s="67"/>
      <c r="G88" s="127"/>
      <c r="H88" s="127"/>
    </row>
    <row r="89" spans="2:8" hidden="1">
      <c r="B89" s="68"/>
      <c r="C89" s="67"/>
      <c r="D89" s="67"/>
      <c r="E89" s="67"/>
      <c r="F89" s="67"/>
      <c r="G89" s="68"/>
      <c r="H89" s="68"/>
    </row>
    <row r="90" spans="2:8" hidden="1">
      <c r="B90" s="68"/>
      <c r="C90" s="67"/>
      <c r="D90" s="67"/>
      <c r="E90" s="67"/>
      <c r="F90" s="67"/>
      <c r="G90" s="68"/>
      <c r="H90" s="68"/>
    </row>
    <row r="91" spans="2:8" hidden="1">
      <c r="B91" s="68"/>
      <c r="C91" s="303" t="str">
        <f>C72</f>
        <v>(CA. KESHAV GUPTA)</v>
      </c>
      <c r="D91" s="303" t="str">
        <f>D72</f>
        <v>ASHWANI KUMAR SINGLA</v>
      </c>
      <c r="E91" s="67"/>
      <c r="F91" s="67"/>
      <c r="G91" s="68"/>
      <c r="H91" s="68"/>
    </row>
    <row r="92" spans="2:8" hidden="1">
      <c r="B92" s="68"/>
      <c r="C92" s="303" t="str">
        <f>C73</f>
        <v>AUDITOR</v>
      </c>
      <c r="D92" s="303" t="str">
        <f>D73</f>
        <v>PROPRIETOR</v>
      </c>
      <c r="E92" s="67"/>
      <c r="F92" s="67"/>
      <c r="G92" s="68"/>
      <c r="H92" s="68"/>
    </row>
    <row r="93" spans="2:8" hidden="1">
      <c r="B93" s="68"/>
      <c r="D93" s="303"/>
      <c r="E93" s="67"/>
      <c r="F93" s="67"/>
      <c r="G93" s="68"/>
      <c r="H93" s="68"/>
    </row>
    <row r="94" spans="2:8" hidden="1">
      <c r="B94" s="68"/>
      <c r="C94" s="303" t="str">
        <f>C75</f>
        <v>SINGLA STEEL CORPORATION</v>
      </c>
      <c r="F94" s="67"/>
      <c r="G94" s="68"/>
      <c r="H94" s="68"/>
    </row>
    <row r="95" spans="2:8" hidden="1">
      <c r="B95" s="68"/>
      <c r="C95" s="303" t="str">
        <f>C76</f>
        <v>Notes to Financial Statements for the year ended 31.03.2025</v>
      </c>
      <c r="F95" s="67"/>
      <c r="G95" s="68"/>
      <c r="H95" s="68"/>
    </row>
    <row r="96" spans="2:8">
      <c r="B96" s="68"/>
      <c r="C96" s="67"/>
      <c r="D96" s="67"/>
      <c r="E96" s="67"/>
      <c r="F96" s="67"/>
      <c r="G96" s="68"/>
      <c r="H96" s="68"/>
    </row>
    <row r="97" spans="2:8">
      <c r="B97" s="133">
        <f>+PL!C17</f>
        <v>17</v>
      </c>
      <c r="C97" s="67" t="s">
        <v>293</v>
      </c>
      <c r="D97" s="67"/>
      <c r="E97" s="69" t="str">
        <f>E104</f>
        <v>(Amount in INR)</v>
      </c>
      <c r="F97" s="67"/>
      <c r="G97" s="267"/>
      <c r="H97" s="267"/>
    </row>
    <row r="98" spans="2:8" ht="51" customHeight="1">
      <c r="B98" s="201"/>
      <c r="C98" s="203" t="s">
        <v>97</v>
      </c>
      <c r="D98" s="289" t="str">
        <f>D105</f>
        <v>For the year ended 31.03.2025</v>
      </c>
      <c r="E98" s="289" t="str">
        <f>E105</f>
        <v>For the year ended 31.03.2024</v>
      </c>
      <c r="F98" s="380"/>
      <c r="G98" s="289" t="str">
        <f>G105</f>
        <v>For the year ended 31.03.2025
Amount (Rs.)</v>
      </c>
      <c r="H98" s="289" t="str">
        <f>H105</f>
        <v>For the year ended 31.03.2024
Amount (Rs.)</v>
      </c>
    </row>
    <row r="99" spans="2:8">
      <c r="B99" s="90" t="s">
        <v>167</v>
      </c>
      <c r="C99" s="215" t="s">
        <v>294</v>
      </c>
      <c r="D99" s="98">
        <f>G99/'My Contect'!$E$2</f>
        <v>174697.16</v>
      </c>
      <c r="E99" s="447">
        <f>H99/'My Contect'!$E$2</f>
        <v>196090.53</v>
      </c>
      <c r="F99" s="215"/>
      <c r="G99" s="474">
        <f>'FA NEW'!J22</f>
        <v>174697.16</v>
      </c>
      <c r="H99" s="447">
        <f>SUMIFS('Trial 2025'!I:I,'Trial 2025'!A:A,'PL Det'!C99)</f>
        <v>196090.53</v>
      </c>
    </row>
    <row r="100" spans="2:8">
      <c r="B100" s="90"/>
      <c r="C100" s="215"/>
      <c r="D100" s="98"/>
      <c r="E100" s="447"/>
      <c r="F100" s="215"/>
      <c r="G100" s="227"/>
      <c r="H100" s="447"/>
    </row>
    <row r="101" spans="2:8" ht="13.8" thickBot="1">
      <c r="B101" s="475"/>
      <c r="C101" s="211" t="s">
        <v>185</v>
      </c>
      <c r="D101" s="176">
        <f>SUM(D99:D99)</f>
        <v>174697.16</v>
      </c>
      <c r="E101" s="176">
        <f>SUM(E99:E99)</f>
        <v>196090.53</v>
      </c>
      <c r="F101" s="216"/>
      <c r="G101" s="470">
        <f>SUM(G99:G99)</f>
        <v>174697.16</v>
      </c>
      <c r="H101" s="470">
        <f>SUM(H99:H99)</f>
        <v>196090.53</v>
      </c>
    </row>
    <row r="102" spans="2:8" ht="13.8" thickTop="1">
      <c r="B102" s="82"/>
      <c r="C102" s="67"/>
      <c r="D102" s="127"/>
      <c r="E102" s="127"/>
      <c r="F102" s="67"/>
      <c r="G102" s="458"/>
      <c r="H102" s="458"/>
    </row>
    <row r="103" spans="2:8">
      <c r="B103" s="82"/>
      <c r="C103" s="67"/>
      <c r="D103" s="127"/>
      <c r="E103" s="127"/>
      <c r="F103" s="67"/>
      <c r="G103" s="458"/>
      <c r="H103" s="458"/>
    </row>
    <row r="104" spans="2:8">
      <c r="B104" s="133">
        <f>+PL!C18</f>
        <v>18</v>
      </c>
      <c r="C104" s="67" t="s">
        <v>295</v>
      </c>
      <c r="D104" s="67"/>
      <c r="E104" s="69" t="str">
        <f>E78</f>
        <v>(Amount in INR)</v>
      </c>
      <c r="F104" s="67"/>
      <c r="G104" s="267"/>
      <c r="H104" s="267"/>
    </row>
    <row r="105" spans="2:8" ht="39.6">
      <c r="B105" s="201"/>
      <c r="C105" s="203" t="s">
        <v>97</v>
      </c>
      <c r="D105" s="289" t="str">
        <f>D39</f>
        <v>For the year ended 31.03.2025</v>
      </c>
      <c r="E105" s="473" t="str">
        <f>E39</f>
        <v>For the year ended 31.03.2024</v>
      </c>
      <c r="F105" s="380"/>
      <c r="G105" s="289" t="str">
        <f>G39</f>
        <v>For the year ended 31.03.2025
Amount (Rs.)</v>
      </c>
      <c r="H105" s="473" t="str">
        <f>H39</f>
        <v>For the year ended 31.03.2024
Amount (Rs.)</v>
      </c>
    </row>
    <row r="106" spans="2:8">
      <c r="B106" s="206" t="s">
        <v>167</v>
      </c>
      <c r="C106" s="208" t="s">
        <v>296</v>
      </c>
      <c r="D106" s="98"/>
      <c r="E106" s="98"/>
      <c r="F106" s="208"/>
      <c r="G106" s="476"/>
      <c r="H106" s="465"/>
    </row>
    <row r="107" spans="2:8" hidden="1">
      <c r="B107" s="206"/>
      <c r="C107" s="477" t="s">
        <v>297</v>
      </c>
      <c r="D107" s="98">
        <f>G107/'My Contect'!$E$2</f>
        <v>0</v>
      </c>
      <c r="E107" s="98">
        <f>H107/'My Contect'!$E$2</f>
        <v>0</v>
      </c>
      <c r="F107" s="208"/>
      <c r="G107" s="474">
        <f>SUMIFS('Trial 2025'!G:G,'Trial 2025'!A:A,'PL Det'!C107)</f>
        <v>0</v>
      </c>
      <c r="H107" s="227">
        <f>SUMIFS('Trial 2025'!I:I,'Trial 2025'!A:A,'PL Det'!C107)</f>
        <v>0</v>
      </c>
    </row>
    <row r="108" spans="2:8">
      <c r="B108" s="206"/>
      <c r="C108" s="477" t="s">
        <v>298</v>
      </c>
      <c r="D108" s="98">
        <f>G108/'My Contect'!$E$2</f>
        <v>595617</v>
      </c>
      <c r="E108" s="98">
        <f>H108/'My Contect'!$E$2</f>
        <v>358827</v>
      </c>
      <c r="F108" s="208"/>
      <c r="G108" s="474">
        <f>SUMIFS('Trial 2025'!G:G,'Trial 2025'!A:A,'PL Det'!C108)</f>
        <v>595617</v>
      </c>
      <c r="H108" s="227">
        <f>SUMIFS('Trial 2025'!I:I,'Trial 2025'!A:A,'PL Det'!C108)</f>
        <v>358827</v>
      </c>
    </row>
    <row r="109" spans="2:8">
      <c r="B109" s="206" t="s">
        <v>190</v>
      </c>
      <c r="C109" s="208" t="s">
        <v>299</v>
      </c>
      <c r="D109" s="98"/>
      <c r="E109" s="98"/>
      <c r="F109" s="208"/>
      <c r="G109" s="474"/>
      <c r="H109" s="227"/>
    </row>
    <row r="110" spans="2:8">
      <c r="B110" s="206"/>
      <c r="C110" s="477" t="s">
        <v>300</v>
      </c>
      <c r="D110" s="98">
        <f>G110/'My Contect'!$E$2</f>
        <v>12095</v>
      </c>
      <c r="E110" s="98">
        <f>H110/'My Contect'!$E$2</f>
        <v>16746.8</v>
      </c>
      <c r="F110" s="208"/>
      <c r="G110" s="474">
        <f>SUMIFS('Trial 2025'!G:G,'Trial 2025'!A:A,'PL Det'!C110)</f>
        <v>12095</v>
      </c>
      <c r="H110" s="227">
        <f>SUMIFS('Trial 2025'!I:I,'Trial 2025'!A:A,'PL Det'!C110)</f>
        <v>16746.8</v>
      </c>
    </row>
    <row r="111" spans="2:8" hidden="1">
      <c r="B111" s="206"/>
      <c r="C111" s="477" t="s">
        <v>301</v>
      </c>
      <c r="D111" s="98">
        <f>G111/'My Contect'!$E$2</f>
        <v>0</v>
      </c>
      <c r="E111" s="98">
        <f>H111/'My Contect'!$E$2</f>
        <v>0</v>
      </c>
      <c r="F111" s="208"/>
      <c r="G111" s="474">
        <f>SUMIFS('Trial 2025'!G:G,'Trial 2025'!A:A,'PL Det'!C111)</f>
        <v>0</v>
      </c>
      <c r="H111" s="227">
        <f>SUMIFS('Trial 2025'!I:I,'Trial 2025'!A:A,'PL Det'!C111)</f>
        <v>0</v>
      </c>
    </row>
    <row r="112" spans="2:8">
      <c r="B112" s="206"/>
      <c r="C112" s="208"/>
      <c r="D112" s="98"/>
      <c r="E112" s="98"/>
      <c r="F112" s="208"/>
      <c r="G112" s="474"/>
      <c r="H112" s="227"/>
    </row>
    <row r="113" spans="2:8" ht="13.8" thickBot="1">
      <c r="B113" s="209"/>
      <c r="C113" s="210" t="s">
        <v>185</v>
      </c>
      <c r="D113" s="176">
        <f>SUM(D106:D112)</f>
        <v>607712</v>
      </c>
      <c r="E113" s="176">
        <f t="shared" ref="E113" si="0">SUM(E106:E112)</f>
        <v>375573.8</v>
      </c>
      <c r="F113" s="67"/>
      <c r="G113" s="470">
        <f>SUM(G106:G112)</f>
        <v>607712</v>
      </c>
      <c r="H113" s="470">
        <f>SUM(H106:H112)</f>
        <v>375573.8</v>
      </c>
    </row>
    <row r="114" spans="2:8" ht="13.8" thickTop="1">
      <c r="G114" s="267"/>
      <c r="H114" s="267"/>
    </row>
    <row r="115" spans="2:8">
      <c r="G115" s="267"/>
      <c r="H115" s="267"/>
    </row>
    <row r="116" spans="2:8">
      <c r="B116" s="133">
        <f>+PL!C19</f>
        <v>19</v>
      </c>
      <c r="C116" s="67" t="s">
        <v>302</v>
      </c>
      <c r="D116" s="67"/>
      <c r="E116" s="69" t="str">
        <f>E97</f>
        <v>(Amount in INR)</v>
      </c>
      <c r="F116" s="67"/>
      <c r="G116" s="267"/>
      <c r="H116" s="267"/>
    </row>
    <row r="117" spans="2:8" ht="51" customHeight="1">
      <c r="B117" s="201"/>
      <c r="C117" s="203" t="s">
        <v>97</v>
      </c>
      <c r="D117" s="289" t="str">
        <f>D98</f>
        <v>For the year ended 31.03.2025</v>
      </c>
      <c r="E117" s="289" t="str">
        <f>E98</f>
        <v>For the year ended 31.03.2024</v>
      </c>
      <c r="F117" s="380"/>
      <c r="G117" s="289" t="str">
        <f>G98</f>
        <v>For the year ended 31.03.2025
Amount (Rs.)</v>
      </c>
      <c r="H117" s="289" t="str">
        <f>H98</f>
        <v>For the year ended 31.03.2024
Amount (Rs.)</v>
      </c>
    </row>
    <row r="118" spans="2:8">
      <c r="B118" s="90" t="s">
        <v>167</v>
      </c>
      <c r="C118" s="64" t="s">
        <v>303</v>
      </c>
      <c r="D118" s="478">
        <f>G118/'My Contect'!$E$2</f>
        <v>15000</v>
      </c>
      <c r="E118" s="479">
        <f>H118/'My Contect'!$E$2</f>
        <v>15000</v>
      </c>
      <c r="G118" s="479">
        <f>SUMIFS('Trial 2025'!G:G,'Trial 2025'!A:A,'PL Det'!C118)</f>
        <v>15000</v>
      </c>
      <c r="H118" s="478">
        <f>SUMIFS('Trial 2025'!I:I,'Trial 2025'!A:A,'PL Det'!C118)</f>
        <v>15000</v>
      </c>
    </row>
    <row r="119" spans="2:8">
      <c r="B119" s="90" t="s">
        <v>190</v>
      </c>
      <c r="C119" s="228" t="s">
        <v>304</v>
      </c>
      <c r="D119" s="478">
        <f>G119/'My Contect'!$E$2</f>
        <v>1014134</v>
      </c>
      <c r="E119" s="478">
        <f>H119/'My Contect'!$E$2</f>
        <v>1981119</v>
      </c>
      <c r="F119" s="228"/>
      <c r="G119" s="479">
        <f>SUMIFS('Trial 2025'!G:G,'Trial 2025'!A:A,'PL Det'!C119)</f>
        <v>1014134</v>
      </c>
      <c r="H119" s="478">
        <f>SUMIFS('Trial 2025'!I:I,'Trial 2025'!A:A,'PL Det'!C119)</f>
        <v>1981119</v>
      </c>
    </row>
    <row r="120" spans="2:8">
      <c r="B120" s="90" t="s">
        <v>248</v>
      </c>
      <c r="C120" s="64" t="s">
        <v>305</v>
      </c>
      <c r="D120" s="478">
        <f>G120/'My Contect'!$E$2</f>
        <v>63895.41</v>
      </c>
      <c r="E120" s="478">
        <f>H120/'My Contect'!$E$2</f>
        <v>41420</v>
      </c>
      <c r="G120" s="479">
        <f>SUMIFS('Trial 2025'!G:G,'Trial 2025'!A:A,'PL Det'!C120)</f>
        <v>63895.41</v>
      </c>
      <c r="H120" s="478">
        <f>SUMIFS('Trial 2025'!I:I,'Trial 2025'!A:A,'PL Det'!C120)</f>
        <v>41420</v>
      </c>
    </row>
    <row r="121" spans="2:8">
      <c r="B121" s="90" t="s">
        <v>306</v>
      </c>
      <c r="C121" s="64" t="s">
        <v>307</v>
      </c>
      <c r="D121" s="478">
        <f>G121/'My Contect'!$E$2</f>
        <v>47951.66</v>
      </c>
      <c r="E121" s="478">
        <f>H121/'My Contect'!$E$2</f>
        <v>6227.9</v>
      </c>
      <c r="G121" s="479">
        <f>SUMIFS('Trial 2025'!G:G,'Trial 2025'!A:A,'PL Det'!C121)</f>
        <v>47951.66</v>
      </c>
      <c r="H121" s="478">
        <f>SUMIFS('Trial 2025'!I:I,'Trial 2025'!A:A,'PL Det'!C121)</f>
        <v>6227.9</v>
      </c>
    </row>
    <row r="122" spans="2:8" s="481" customFormat="1">
      <c r="B122" s="206" t="s">
        <v>308</v>
      </c>
      <c r="C122" s="480" t="s">
        <v>309</v>
      </c>
      <c r="D122" s="478">
        <f>G122/'My Contect'!$E$2</f>
        <v>0</v>
      </c>
      <c r="E122" s="479">
        <f>H122/'My Contect'!$E$2</f>
        <v>1000</v>
      </c>
      <c r="F122" s="64"/>
      <c r="G122" s="479">
        <f>SUMIFS('Trial 2025'!G:G,'Trial 2025'!A:A,'PL Det'!C122)</f>
        <v>0</v>
      </c>
      <c r="H122" s="478">
        <f>SUMIFS('Trial 2025'!I:I,'Trial 2025'!A:A,'PL Det'!C122)</f>
        <v>1000</v>
      </c>
    </row>
    <row r="123" spans="2:8">
      <c r="B123" s="206" t="s">
        <v>310</v>
      </c>
      <c r="C123" s="405" t="s">
        <v>311</v>
      </c>
      <c r="D123" s="478">
        <f>G123/'My Contect'!$E$2</f>
        <v>30023</v>
      </c>
      <c r="E123" s="478">
        <f>H123/'My Contect'!$E$2</f>
        <v>30721.7</v>
      </c>
      <c r="G123" s="479">
        <f>SUMIFS('Trial 2025'!G:G,'Trial 2025'!A:A,'PL Det'!C123)</f>
        <v>30023</v>
      </c>
      <c r="H123" s="478">
        <f>SUMIFS('Trial 2025'!I:I,'Trial 2025'!A:A,'PL Det'!C123)</f>
        <v>30721.7</v>
      </c>
    </row>
    <row r="124" spans="2:8">
      <c r="B124" s="206" t="s">
        <v>312</v>
      </c>
      <c r="C124" s="64" t="s">
        <v>313</v>
      </c>
      <c r="D124" s="478">
        <f>G124/'My Contect'!$E$2</f>
        <v>96818.800000000017</v>
      </c>
      <c r="E124" s="479">
        <f>H124/'My Contect'!$E$2</f>
        <v>32035.24</v>
      </c>
      <c r="F124" s="405"/>
      <c r="G124" s="479">
        <f>SUMIFS('Trial 2025'!G:G,'Trial 2025'!A:A,'PL Det'!C124)</f>
        <v>96818.800000000017</v>
      </c>
      <c r="H124" s="478">
        <f>SUMIFS('Trial 2025'!I:I,'Trial 2025'!A:A,'PL Det'!C124)</f>
        <v>32035.24</v>
      </c>
    </row>
    <row r="125" spans="2:8">
      <c r="B125" s="206" t="s">
        <v>314</v>
      </c>
      <c r="C125" s="405" t="s">
        <v>315</v>
      </c>
      <c r="D125" s="478">
        <f>G125/'My Contect'!$E$2</f>
        <v>81230</v>
      </c>
      <c r="E125" s="478">
        <f>H125/'My Contect'!$E$2</f>
        <v>82302.600000000006</v>
      </c>
      <c r="F125" s="228"/>
      <c r="G125" s="479">
        <f>SUMIFS('Trial 2025'!G:G,'Trial 2025'!A:A,'PL Det'!C125)</f>
        <v>81230</v>
      </c>
      <c r="H125" s="478">
        <f>SUMIFS('Trial 2025'!I:I,'Trial 2025'!A:A,'PL Det'!C125)</f>
        <v>82302.600000000006</v>
      </c>
    </row>
    <row r="126" spans="2:8">
      <c r="B126" s="206" t="s">
        <v>263</v>
      </c>
      <c r="C126" s="228" t="s">
        <v>316</v>
      </c>
      <c r="D126" s="478">
        <f>G126/'My Contect'!$E$2</f>
        <v>26780.83</v>
      </c>
      <c r="E126" s="478">
        <f>H126/'My Contect'!$E$2</f>
        <v>3174.1</v>
      </c>
      <c r="F126" s="228"/>
      <c r="G126" s="479">
        <f>SUMIFS('Trial 2025'!G:G,'Trial 2025'!A:A,'PL Det'!C126)</f>
        <v>26780.83</v>
      </c>
      <c r="H126" s="478">
        <f>SUMIFS('Trial 2025'!I:I,'Trial 2025'!A:A,'PL Det'!C126)</f>
        <v>3174.1</v>
      </c>
    </row>
    <row r="127" spans="2:8">
      <c r="B127" s="206" t="s">
        <v>317</v>
      </c>
      <c r="C127" s="480" t="s">
        <v>318</v>
      </c>
      <c r="D127" s="478">
        <f>G127/'My Contect'!$E$2</f>
        <v>1650</v>
      </c>
      <c r="E127" s="479">
        <f>H127/'My Contect'!$E$2</f>
        <v>2100</v>
      </c>
      <c r="F127" s="405"/>
      <c r="G127" s="479">
        <f>SUMIFS('Trial 2025'!G:G,'Trial 2025'!A:A,'PL Det'!C127)</f>
        <v>1650</v>
      </c>
      <c r="H127" s="478">
        <f>SUMIFS('Trial 2025'!I:I,'Trial 2025'!A:A,'PL Det'!C127)</f>
        <v>2100</v>
      </c>
    </row>
    <row r="128" spans="2:8">
      <c r="B128" s="206" t="s">
        <v>319</v>
      </c>
      <c r="C128" s="228" t="s">
        <v>320</v>
      </c>
      <c r="D128" s="478">
        <f>G128/'My Contect'!$E$2</f>
        <v>0</v>
      </c>
      <c r="E128" s="478">
        <f>H128/'My Contect'!$E$2</f>
        <v>114433.63</v>
      </c>
      <c r="F128" s="228"/>
      <c r="G128" s="479">
        <f>SUMIFS('Trial 2025'!G:G,'Trial 2025'!A:A,'PL Det'!C128)</f>
        <v>0</v>
      </c>
      <c r="H128" s="478">
        <f>SUMIFS('Trial 2025'!I:I,'Trial 2025'!A:A,'PL Det'!C128)</f>
        <v>114433.63</v>
      </c>
    </row>
    <row r="129" spans="2:8">
      <c r="B129" s="206" t="s">
        <v>321</v>
      </c>
      <c r="C129" s="228" t="s">
        <v>322</v>
      </c>
      <c r="D129" s="478">
        <f>G129/'My Contect'!$E$2</f>
        <v>1080000</v>
      </c>
      <c r="E129" s="478">
        <f>H129/'My Contect'!$E$2</f>
        <v>1291350</v>
      </c>
      <c r="F129" s="228"/>
      <c r="G129" s="479">
        <f>SUMIFS('Trial 2025'!G:G,'Trial 2025'!A:A,'PL Det'!C129)</f>
        <v>1080000</v>
      </c>
      <c r="H129" s="478">
        <f>SUMIFS('Trial 2025'!I:I,'Trial 2025'!A:A,'PL Det'!C129)</f>
        <v>1291350</v>
      </c>
    </row>
    <row r="130" spans="2:8">
      <c r="B130" s="206" t="s">
        <v>323</v>
      </c>
      <c r="C130" s="482" t="s">
        <v>324</v>
      </c>
      <c r="D130" s="478">
        <f>G130/'My Contect'!$E$2</f>
        <v>45724</v>
      </c>
      <c r="E130" s="478">
        <f>H130/'My Contect'!$E$2</f>
        <v>77683.22</v>
      </c>
      <c r="F130" s="483"/>
      <c r="G130" s="479">
        <f>SUMIFS('Trial 2025'!G:G,'Trial 2025'!A:A,'PL Det'!C130)</f>
        <v>45724</v>
      </c>
      <c r="H130" s="478">
        <f>SUMIFS('Trial 2025'!I:I,'Trial 2025'!A:A,'PL Det'!C130)</f>
        <v>77683.22</v>
      </c>
    </row>
    <row r="131" spans="2:8">
      <c r="B131" s="206" t="s">
        <v>325</v>
      </c>
      <c r="C131" s="407" t="s">
        <v>326</v>
      </c>
      <c r="D131" s="478">
        <f>G131/'My Contect'!$E$2</f>
        <v>18633.66</v>
      </c>
      <c r="E131" s="478">
        <f>H131/'My Contect'!$E$2</f>
        <v>14001.92</v>
      </c>
      <c r="F131" s="483"/>
      <c r="G131" s="479">
        <f>SUMIFS('Trial 2025'!G:G,'Trial 2025'!A:A,'PL Det'!C131)</f>
        <v>18633.66</v>
      </c>
      <c r="H131" s="478">
        <f>SUMIFS('Trial 2025'!I:I,'Trial 2025'!A:A,'PL Det'!C131)</f>
        <v>14001.92</v>
      </c>
    </row>
    <row r="132" spans="2:8">
      <c r="B132" s="206" t="s">
        <v>325</v>
      </c>
      <c r="C132" s="407" t="s">
        <v>327</v>
      </c>
      <c r="D132" s="478">
        <f>G132/'My Contect'!$E$2</f>
        <v>19327.61</v>
      </c>
      <c r="E132" s="478">
        <f>H132/'My Contect'!$E$2</f>
        <v>0</v>
      </c>
      <c r="F132" s="480"/>
      <c r="G132" s="479">
        <f>SUMIFS('Trial 2025'!G:G,'Trial 2025'!A:A,'PL Det'!C132)</f>
        <v>19327.61</v>
      </c>
      <c r="H132" s="478">
        <f>SUMIFS('Trial 2025'!I:I,'Trial 2025'!A:A,'PL Det'!C132)</f>
        <v>0</v>
      </c>
    </row>
    <row r="133" spans="2:8">
      <c r="B133" s="206"/>
      <c r="C133" s="228"/>
      <c r="D133" s="479"/>
      <c r="E133" s="478"/>
      <c r="F133" s="480"/>
      <c r="G133" s="479"/>
      <c r="H133" s="478"/>
    </row>
    <row r="134" spans="2:8" ht="13.8" thickBot="1">
      <c r="B134" s="262"/>
      <c r="C134" s="210" t="s">
        <v>260</v>
      </c>
      <c r="D134" s="176">
        <f>SUM(D118:D133)</f>
        <v>2541168.9700000002</v>
      </c>
      <c r="E134" s="176">
        <f>SUM(E118:E133)</f>
        <v>3692569.31</v>
      </c>
      <c r="F134" s="67">
        <f>SUM(F118:F130)</f>
        <v>0</v>
      </c>
      <c r="G134" s="176">
        <f t="shared" ref="G134:H134" si="1">SUM(G118:G133)</f>
        <v>2541168.9700000002</v>
      </c>
      <c r="H134" s="176">
        <f t="shared" si="1"/>
        <v>3692569.31</v>
      </c>
    </row>
    <row r="135" spans="2:8" ht="13.8" thickTop="1">
      <c r="G135" s="267"/>
    </row>
    <row r="136" spans="2:8">
      <c r="G136" s="267"/>
    </row>
    <row r="137" spans="2:8">
      <c r="G137" s="267"/>
    </row>
    <row r="138" spans="2:8">
      <c r="G138" s="267"/>
    </row>
    <row r="140" spans="2:8" s="430" customFormat="1">
      <c r="B140" s="64"/>
      <c r="C140" s="144" t="str">
        <f>C72</f>
        <v>(CA. KESHAV GUPTA)</v>
      </c>
      <c r="D140" s="144" t="str">
        <f>D72</f>
        <v>ASHWANI KUMAR SINGLA</v>
      </c>
      <c r="E140" s="144"/>
      <c r="F140" s="484"/>
      <c r="G140" s="266" t="str">
        <f t="shared" ref="G140:G141" si="2">D140</f>
        <v>ASHWANI KUMAR SINGLA</v>
      </c>
      <c r="H140" s="266"/>
    </row>
    <row r="141" spans="2:8" s="430" customFormat="1">
      <c r="B141" s="64"/>
      <c r="C141" s="144" t="str">
        <f>C73</f>
        <v>AUDITOR</v>
      </c>
      <c r="D141" s="144" t="str">
        <f>D73</f>
        <v>PROPRIETOR</v>
      </c>
      <c r="E141" s="144"/>
      <c r="F141" s="484"/>
      <c r="G141" s="266" t="str">
        <f t="shared" si="2"/>
        <v>PROPRIETOR</v>
      </c>
      <c r="H141" s="266"/>
    </row>
    <row r="142" spans="2:8" s="430" customFormat="1" hidden="1">
      <c r="B142" s="64"/>
      <c r="C142" s="144"/>
      <c r="D142" s="144"/>
      <c r="E142" s="144"/>
      <c r="F142" s="144"/>
      <c r="G142" s="266"/>
      <c r="H142" s="266"/>
    </row>
    <row r="143" spans="2:8" s="430" customFormat="1">
      <c r="B143" s="64"/>
      <c r="C143" s="64"/>
      <c r="D143" s="64"/>
      <c r="E143" s="64"/>
    </row>
    <row r="145" spans="7:7">
      <c r="G145" s="197"/>
    </row>
    <row r="147" spans="7:7">
      <c r="G147" s="298"/>
    </row>
    <row r="148" spans="7:7">
      <c r="G148" s="298"/>
    </row>
    <row r="150" spans="7:7">
      <c r="G150" s="298"/>
    </row>
  </sheetData>
  <conditionalFormatting sqref="C118:C129">
    <cfRule type="duplicateValues" dxfId="4" priority="1"/>
  </conditionalFormatting>
  <pageMargins left="0.7" right="0.7" top="0.75" bottom="0.75" header="0.3" footer="0.3"/>
  <pageSetup paperSize="9" scale="92" fitToHeight="0" orientation="portrait" r:id="rId1"/>
  <headerFooter alignWithMargins="0"/>
  <rowBreaks count="1" manualBreakCount="1">
    <brk id="74" max="4"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16C2C-6DA8-4ECB-B498-916DE4840D5D}">
  <sheetPr>
    <tabColor rgb="FF92D050"/>
    <pageSetUpPr fitToPage="1"/>
  </sheetPr>
  <dimension ref="B1:N56"/>
  <sheetViews>
    <sheetView zoomScaleNormal="100" zoomScaleSheetLayoutView="100" workbookViewId="0">
      <selection activeCell="I20" sqref="I20"/>
    </sheetView>
  </sheetViews>
  <sheetFormatPr defaultRowHeight="13.2"/>
  <cols>
    <col min="1" max="1" width="2.33203125" customWidth="1"/>
    <col min="2" max="2" width="4.33203125" customWidth="1"/>
    <col min="3" max="7" width="12.109375" customWidth="1"/>
    <col min="8" max="9" width="14.44140625" customWidth="1"/>
    <col min="10" max="10" width="5" bestFit="1" customWidth="1"/>
    <col min="13" max="13" width="14.109375" bestFit="1" customWidth="1"/>
    <col min="14" max="14" width="12.88671875" bestFit="1" customWidth="1"/>
  </cols>
  <sheetData>
    <row r="1" spans="2:9">
      <c r="C1" s="67" t="str">
        <f>[1]Ratio!C1</f>
        <v>SINGLA STEEL CORPORATION</v>
      </c>
    </row>
    <row r="2" spans="2:9">
      <c r="C2" s="67" t="str">
        <f>[1]Ratio!C2</f>
        <v>Notes to Financial Statements for the year ended 31.03.2025</v>
      </c>
    </row>
    <row r="4" spans="2:9" ht="38.25" customHeight="1">
      <c r="B4" s="485">
        <f>'PL Det'!B116+1</f>
        <v>20</v>
      </c>
      <c r="C4" s="486" t="s">
        <v>328</v>
      </c>
      <c r="D4" s="486"/>
      <c r="E4" s="486"/>
      <c r="F4" s="486"/>
      <c r="G4" s="486"/>
      <c r="H4" s="486"/>
      <c r="I4" s="486"/>
    </row>
    <row r="5" spans="2:9">
      <c r="B5" s="64"/>
      <c r="C5" s="67"/>
      <c r="D5" s="67"/>
      <c r="E5" s="67"/>
      <c r="F5" s="67"/>
      <c r="G5" s="67"/>
      <c r="H5" s="67"/>
      <c r="I5" s="69" t="str">
        <f>[1]Ratio!G4</f>
        <v>(Amount in INR)</v>
      </c>
    </row>
    <row r="6" spans="2:9" ht="26.4">
      <c r="B6" s="209"/>
      <c r="C6" s="487" t="s">
        <v>329</v>
      </c>
      <c r="D6" s="487"/>
      <c r="E6" s="487"/>
      <c r="F6" s="487"/>
      <c r="G6" s="488"/>
      <c r="H6" s="289" t="str">
        <f>'BS Lia'!E80</f>
        <v>As at 31.03.2025</v>
      </c>
      <c r="I6" s="289" t="str">
        <f>'BS Lia'!F80</f>
        <v>As at 31.03.2024</v>
      </c>
    </row>
    <row r="7" spans="2:9">
      <c r="B7" s="423"/>
      <c r="C7" s="67"/>
      <c r="D7" s="67"/>
      <c r="F7" s="489"/>
      <c r="G7" s="67"/>
      <c r="H7" s="93"/>
      <c r="I7" s="490"/>
    </row>
    <row r="8" spans="2:9">
      <c r="B8" s="491" t="s">
        <v>330</v>
      </c>
      <c r="C8" s="64" t="s">
        <v>331</v>
      </c>
      <c r="D8" s="492"/>
      <c r="G8" s="492"/>
      <c r="H8" s="493">
        <f>'BS Lia'!E82</f>
        <v>0</v>
      </c>
      <c r="I8" s="493">
        <f>'BS Lia'!F82</f>
        <v>0</v>
      </c>
    </row>
    <row r="9" spans="2:9">
      <c r="B9" s="491" t="s">
        <v>332</v>
      </c>
      <c r="C9" s="64" t="s">
        <v>333</v>
      </c>
      <c r="D9" s="492"/>
      <c r="G9" s="492"/>
      <c r="H9" s="493">
        <v>0</v>
      </c>
      <c r="I9" s="493">
        <v>0</v>
      </c>
    </row>
    <row r="10" spans="2:9" ht="45" customHeight="1">
      <c r="B10" s="491" t="s">
        <v>334</v>
      </c>
      <c r="C10" s="486" t="s">
        <v>335</v>
      </c>
      <c r="D10" s="486"/>
      <c r="E10" s="486"/>
      <c r="F10" s="486"/>
      <c r="G10" s="494"/>
      <c r="H10" s="493">
        <v>0</v>
      </c>
      <c r="I10" s="495">
        <v>0</v>
      </c>
    </row>
    <row r="11" spans="2:9" ht="60" customHeight="1">
      <c r="B11" s="491" t="s">
        <v>336</v>
      </c>
      <c r="C11" s="486" t="s">
        <v>337</v>
      </c>
      <c r="D11" s="486"/>
      <c r="E11" s="486"/>
      <c r="F11" s="486"/>
      <c r="G11" s="494"/>
      <c r="H11" s="493">
        <v>0</v>
      </c>
      <c r="I11" s="495">
        <v>0</v>
      </c>
    </row>
    <row r="12" spans="2:9">
      <c r="B12" s="491" t="s">
        <v>338</v>
      </c>
      <c r="C12" s="64" t="s">
        <v>339</v>
      </c>
      <c r="D12" s="492"/>
      <c r="G12" s="492"/>
      <c r="H12" s="493">
        <v>0</v>
      </c>
      <c r="I12" s="495">
        <v>0</v>
      </c>
    </row>
    <row r="13" spans="2:9" ht="75" customHeight="1">
      <c r="B13" s="491" t="s">
        <v>340</v>
      </c>
      <c r="C13" s="486" t="s">
        <v>341</v>
      </c>
      <c r="D13" s="486"/>
      <c r="E13" s="486"/>
      <c r="F13" s="486"/>
      <c r="G13" s="494"/>
      <c r="H13" s="493">
        <v>0</v>
      </c>
      <c r="I13" s="495">
        <v>0</v>
      </c>
    </row>
    <row r="14" spans="2:9">
      <c r="B14" s="496"/>
      <c r="C14" s="497"/>
      <c r="D14" s="497"/>
      <c r="E14" s="497"/>
      <c r="F14" s="497"/>
      <c r="G14" s="497"/>
      <c r="H14" s="498"/>
      <c r="I14" s="498"/>
    </row>
    <row r="15" spans="2:9">
      <c r="B15" s="499"/>
      <c r="C15" s="224"/>
      <c r="D15" s="224"/>
      <c r="E15" s="224"/>
      <c r="F15" s="224"/>
      <c r="G15" s="224"/>
      <c r="H15" s="500"/>
      <c r="I15" s="500"/>
    </row>
    <row r="16" spans="2:9" hidden="1">
      <c r="B16" s="64"/>
      <c r="C16" s="64"/>
      <c r="D16" s="64"/>
      <c r="E16" s="64"/>
      <c r="F16" s="64"/>
      <c r="G16" s="64"/>
      <c r="H16" s="64"/>
      <c r="I16" s="64"/>
    </row>
    <row r="17" spans="2:10" hidden="1">
      <c r="B17" s="133">
        <f>'Aging Analysis'!B4+1</f>
        <v>21</v>
      </c>
      <c r="C17" s="67" t="s">
        <v>342</v>
      </c>
      <c r="D17" s="64"/>
      <c r="E17" s="64"/>
      <c r="F17" s="64"/>
      <c r="G17" s="64"/>
      <c r="H17" s="64"/>
      <c r="I17" s="69" t="str">
        <f>I5</f>
        <v>(Amount in INR)</v>
      </c>
    </row>
    <row r="18" spans="2:10" hidden="1">
      <c r="B18" s="501" t="s">
        <v>343</v>
      </c>
      <c r="C18" s="502" t="s">
        <v>329</v>
      </c>
      <c r="D18" s="503"/>
      <c r="E18" s="504" t="s">
        <v>344</v>
      </c>
      <c r="F18" s="505"/>
      <c r="G18" s="505"/>
      <c r="H18" s="506"/>
      <c r="I18" s="220"/>
    </row>
    <row r="19" spans="2:10" ht="26.4" hidden="1">
      <c r="B19" s="507"/>
      <c r="C19" s="508"/>
      <c r="D19" s="509"/>
      <c r="E19" s="289" t="s">
        <v>345</v>
      </c>
      <c r="F19" s="289" t="s">
        <v>346</v>
      </c>
      <c r="G19" s="220" t="s">
        <v>347</v>
      </c>
      <c r="H19" s="220" t="s">
        <v>348</v>
      </c>
      <c r="I19" s="220" t="s">
        <v>185</v>
      </c>
    </row>
    <row r="20" spans="2:10" hidden="1">
      <c r="B20" s="510"/>
      <c r="C20" s="209" t="s">
        <v>349</v>
      </c>
      <c r="D20" s="511"/>
      <c r="E20" s="432"/>
      <c r="F20" s="432"/>
      <c r="G20" s="432"/>
      <c r="H20" s="432"/>
      <c r="I20" s="109"/>
    </row>
    <row r="21" spans="2:10" hidden="1">
      <c r="B21" s="510" t="s">
        <v>263</v>
      </c>
      <c r="C21" s="209" t="s">
        <v>350</v>
      </c>
      <c r="D21" s="511"/>
      <c r="E21" s="432"/>
      <c r="F21" s="432"/>
      <c r="G21" s="432"/>
      <c r="H21" s="432"/>
      <c r="I21" s="109">
        <f>SUM(E21:H21)</f>
        <v>0</v>
      </c>
    </row>
    <row r="22" spans="2:10" hidden="1">
      <c r="B22" s="510" t="s">
        <v>265</v>
      </c>
      <c r="C22" s="209" t="s">
        <v>262</v>
      </c>
      <c r="D22" s="511"/>
      <c r="E22" s="432">
        <f>Sheet4!E45/'My Contect'!$E$2</f>
        <v>1754373</v>
      </c>
      <c r="F22" s="432">
        <f>Sheet4!F45/'My Contect'!$E$2</f>
        <v>0</v>
      </c>
      <c r="G22" s="432">
        <f>Sheet4!G45/'My Contect'!$E$2</f>
        <v>0</v>
      </c>
      <c r="H22" s="432">
        <f>Sheet4!H45/'My Contect'!$E$2</f>
        <v>14091842.640000001</v>
      </c>
      <c r="I22" s="109">
        <f>SUM(E22:H22)</f>
        <v>15846215.640000001</v>
      </c>
    </row>
    <row r="23" spans="2:10" hidden="1">
      <c r="B23" s="512"/>
      <c r="C23" s="209" t="s">
        <v>351</v>
      </c>
      <c r="D23" s="511"/>
      <c r="E23" s="432"/>
      <c r="F23" s="432"/>
      <c r="G23" s="432"/>
      <c r="H23" s="432"/>
      <c r="I23" s="109"/>
    </row>
    <row r="24" spans="2:10" hidden="1">
      <c r="B24" s="510" t="s">
        <v>263</v>
      </c>
      <c r="C24" s="209" t="s">
        <v>350</v>
      </c>
      <c r="D24" s="511"/>
      <c r="E24" s="432"/>
      <c r="F24" s="432"/>
      <c r="G24" s="432"/>
      <c r="H24" s="432"/>
      <c r="I24" s="109">
        <f t="shared" ref="I24:I25" si="0">SUM(E24:H24)</f>
        <v>0</v>
      </c>
    </row>
    <row r="25" spans="2:10" hidden="1">
      <c r="B25" s="510" t="s">
        <v>265</v>
      </c>
      <c r="C25" s="209" t="s">
        <v>262</v>
      </c>
      <c r="D25" s="511"/>
      <c r="E25" s="432"/>
      <c r="F25" s="432"/>
      <c r="G25" s="432"/>
      <c r="H25" s="432"/>
      <c r="I25" s="109">
        <f t="shared" si="0"/>
        <v>0</v>
      </c>
    </row>
    <row r="26" spans="2:10" hidden="1">
      <c r="B26" s="512"/>
      <c r="C26" s="513" t="s">
        <v>185</v>
      </c>
      <c r="D26" s="211"/>
      <c r="E26" s="109">
        <f>SUM(E20:E25)</f>
        <v>1754373</v>
      </c>
      <c r="F26" s="109">
        <f t="shared" ref="F26:I26" si="1">SUM(F20:F25)</f>
        <v>0</v>
      </c>
      <c r="G26" s="109">
        <f t="shared" si="1"/>
        <v>0</v>
      </c>
      <c r="H26" s="109">
        <f t="shared" si="1"/>
        <v>14091842.640000001</v>
      </c>
      <c r="I26" s="109">
        <f t="shared" si="1"/>
        <v>15846215.640000001</v>
      </c>
      <c r="J26" s="514">
        <f>BS!G23-'Aging Analysis'!I26</f>
        <v>0</v>
      </c>
    </row>
    <row r="27" spans="2:10" hidden="1">
      <c r="B27" s="64"/>
      <c r="C27" s="67"/>
      <c r="D27" s="67"/>
      <c r="E27" s="127"/>
      <c r="F27" s="127"/>
      <c r="G27" s="127"/>
      <c r="H27" s="127"/>
      <c r="I27" s="127"/>
      <c r="J27" s="514"/>
    </row>
    <row r="28" spans="2:10" hidden="1"/>
    <row r="29" spans="2:10" hidden="1">
      <c r="B29" s="133">
        <f>B17+1</f>
        <v>22</v>
      </c>
      <c r="C29" s="67" t="s">
        <v>352</v>
      </c>
      <c r="I29" s="69" t="str">
        <f>I17</f>
        <v>(Amount in INR)</v>
      </c>
    </row>
    <row r="30" spans="2:10" hidden="1">
      <c r="B30" s="501" t="s">
        <v>343</v>
      </c>
      <c r="C30" s="515" t="s">
        <v>329</v>
      </c>
      <c r="D30" s="504" t="s">
        <v>344</v>
      </c>
      <c r="E30" s="516"/>
      <c r="F30" s="516"/>
      <c r="G30" s="516"/>
      <c r="H30" s="517"/>
      <c r="I30" s="518"/>
    </row>
    <row r="31" spans="2:10" ht="26.4" hidden="1">
      <c r="B31" s="507"/>
      <c r="C31" s="519"/>
      <c r="D31" s="289" t="s">
        <v>353</v>
      </c>
      <c r="E31" s="289" t="s">
        <v>354</v>
      </c>
      <c r="F31" s="289" t="s">
        <v>346</v>
      </c>
      <c r="G31" s="220" t="s">
        <v>347</v>
      </c>
      <c r="H31" s="220" t="s">
        <v>348</v>
      </c>
      <c r="I31" s="220" t="s">
        <v>185</v>
      </c>
    </row>
    <row r="32" spans="2:10" hidden="1">
      <c r="B32" s="512"/>
      <c r="C32" s="520" t="s">
        <v>182</v>
      </c>
      <c r="D32" s="432"/>
      <c r="E32" s="432"/>
      <c r="F32" s="432"/>
      <c r="G32" s="432"/>
      <c r="H32" s="432"/>
      <c r="I32" s="109"/>
    </row>
    <row r="33" spans="2:14" hidden="1">
      <c r="B33" s="512" t="s">
        <v>263</v>
      </c>
      <c r="C33" s="512" t="s">
        <v>355</v>
      </c>
      <c r="D33" s="432"/>
      <c r="E33" s="432"/>
      <c r="F33" s="432"/>
      <c r="G33" s="432"/>
      <c r="H33" s="432"/>
      <c r="I33" s="109"/>
    </row>
    <row r="34" spans="2:14" hidden="1">
      <c r="B34" s="512"/>
      <c r="C34" s="521" t="s">
        <v>356</v>
      </c>
      <c r="D34" s="432">
        <f>Sheet4!E120/'My Contect'!$E$2</f>
        <v>52864359</v>
      </c>
      <c r="E34" s="432">
        <f>Sheet4!F120/'My Contect'!$E$2</f>
        <v>0</v>
      </c>
      <c r="F34" s="432">
        <f>Sheet4!G120/'My Contect'!$E$2</f>
        <v>162673</v>
      </c>
      <c r="G34" s="432">
        <f>Sheet4!H120/'My Contect'!$E$2</f>
        <v>535396.5</v>
      </c>
      <c r="H34" s="432">
        <f>Sheet4!I120/'My Contect'!$E$2</f>
        <v>961811</v>
      </c>
      <c r="I34" s="109">
        <f>SUM(D34:H34)</f>
        <v>54524239.5</v>
      </c>
      <c r="K34" s="522"/>
      <c r="L34" s="64"/>
      <c r="M34" s="64"/>
      <c r="N34" s="120"/>
    </row>
    <row r="35" spans="2:14" hidden="1">
      <c r="B35" s="512"/>
      <c r="C35" s="521" t="s">
        <v>357</v>
      </c>
      <c r="D35" s="432"/>
      <c r="E35" s="432"/>
      <c r="F35" s="432"/>
      <c r="G35" s="432"/>
      <c r="H35" s="432"/>
      <c r="I35" s="109">
        <f>SUM(D35:H35)</f>
        <v>0</v>
      </c>
      <c r="K35" s="522"/>
      <c r="L35" s="64"/>
      <c r="M35" s="64"/>
      <c r="N35" s="523"/>
    </row>
    <row r="36" spans="2:14" hidden="1">
      <c r="B36" s="512" t="s">
        <v>265</v>
      </c>
      <c r="C36" s="512" t="s">
        <v>358</v>
      </c>
      <c r="D36" s="432"/>
      <c r="E36" s="432"/>
      <c r="F36" s="432"/>
      <c r="G36" s="432"/>
      <c r="H36" s="432"/>
      <c r="I36" s="109"/>
      <c r="K36" s="522"/>
      <c r="L36" s="64"/>
      <c r="M36" s="64"/>
      <c r="N36" s="523"/>
    </row>
    <row r="37" spans="2:14" hidden="1">
      <c r="B37" s="512"/>
      <c r="C37" s="521" t="s">
        <v>356</v>
      </c>
      <c r="D37" s="432"/>
      <c r="E37" s="432"/>
      <c r="F37" s="432"/>
      <c r="G37" s="432"/>
      <c r="H37" s="432"/>
      <c r="I37" s="109">
        <f>SUM(D37:H37)</f>
        <v>0</v>
      </c>
      <c r="M37" s="64"/>
      <c r="N37" s="523"/>
    </row>
    <row r="38" spans="2:14" hidden="1">
      <c r="B38" s="512"/>
      <c r="C38" s="521" t="s">
        <v>357</v>
      </c>
      <c r="D38" s="432"/>
      <c r="E38" s="432"/>
      <c r="F38" s="432"/>
      <c r="G38" s="432"/>
      <c r="H38" s="432"/>
      <c r="I38" s="109">
        <f>SUM(D38:H38)</f>
        <v>0</v>
      </c>
      <c r="M38" s="64"/>
    </row>
    <row r="39" spans="2:14" hidden="1">
      <c r="B39" s="512"/>
      <c r="C39" s="524" t="s">
        <v>185</v>
      </c>
      <c r="D39" s="109">
        <f>SUM(D32:D38)</f>
        <v>52864359</v>
      </c>
      <c r="E39" s="109">
        <f t="shared" ref="E39:I39" si="2">SUM(E32:E38)</f>
        <v>0</v>
      </c>
      <c r="F39" s="109">
        <f t="shared" si="2"/>
        <v>162673</v>
      </c>
      <c r="G39" s="109">
        <f t="shared" si="2"/>
        <v>535396.5</v>
      </c>
      <c r="H39" s="109">
        <f t="shared" si="2"/>
        <v>961811</v>
      </c>
      <c r="I39" s="109">
        <f t="shared" si="2"/>
        <v>54524239.5</v>
      </c>
      <c r="J39" s="514">
        <f>BS!G40-'Aging Analysis'!I39</f>
        <v>0</v>
      </c>
    </row>
    <row r="40" spans="2:14" hidden="1"/>
    <row r="41" spans="2:14" ht="25.5" customHeight="1">
      <c r="B41" s="525">
        <f>B4+1</f>
        <v>21</v>
      </c>
      <c r="C41" s="526" t="s">
        <v>359</v>
      </c>
      <c r="D41" s="526"/>
      <c r="E41" s="526"/>
      <c r="F41" s="526"/>
      <c r="G41" s="526"/>
      <c r="H41" s="526"/>
      <c r="I41" s="526"/>
    </row>
    <row r="42" spans="2:14">
      <c r="B42" s="68"/>
      <c r="C42" s="224"/>
      <c r="D42" s="224"/>
      <c r="E42" s="224"/>
      <c r="F42" s="224"/>
    </row>
    <row r="43" spans="2:14" ht="52.8">
      <c r="B43" s="68"/>
      <c r="C43" s="527" t="str">
        <f>[1]CFS!B46</f>
        <v>FOR KUMAR GUPTA &amp; ASSOCIATES</v>
      </c>
      <c r="D43" s="224"/>
      <c r="E43" s="224"/>
      <c r="F43" s="224"/>
    </row>
    <row r="44" spans="2:14" ht="52.8">
      <c r="B44" s="68"/>
      <c r="C44" s="527" t="str">
        <f>[1]CFS!B47</f>
        <v>CHARTERED ACCOUNTANTS</v>
      </c>
      <c r="D44" s="144"/>
      <c r="E44" s="144"/>
      <c r="F44" s="528"/>
    </row>
    <row r="45" spans="2:14" ht="39.6">
      <c r="B45" s="68"/>
      <c r="C45" s="527" t="str">
        <f>[1]CFS!B48</f>
        <v>Firm Registration No. 035355N</v>
      </c>
      <c r="E45" s="64"/>
      <c r="F45" s="144"/>
      <c r="G45" s="303" t="str">
        <f>PL!C37</f>
        <v>FOR SINGLA STEEL CORPORATION</v>
      </c>
    </row>
    <row r="46" spans="2:14">
      <c r="B46" s="68"/>
      <c r="C46" s="527"/>
      <c r="E46" s="67"/>
      <c r="F46" s="144"/>
      <c r="G46" s="144"/>
    </row>
    <row r="47" spans="2:14">
      <c r="B47" s="68"/>
      <c r="C47" s="527"/>
      <c r="E47" s="67"/>
      <c r="F47" s="144"/>
      <c r="G47" s="144"/>
    </row>
    <row r="48" spans="2:14">
      <c r="B48" s="68"/>
      <c r="C48" s="527"/>
      <c r="E48" s="67"/>
      <c r="F48" s="144"/>
      <c r="G48" s="144"/>
    </row>
    <row r="49" spans="2:9">
      <c r="B49" s="68"/>
      <c r="C49" s="527"/>
      <c r="E49" s="64"/>
      <c r="F49" s="529"/>
      <c r="G49" s="64"/>
    </row>
    <row r="50" spans="2:9">
      <c r="B50" s="68"/>
      <c r="C50" s="527"/>
      <c r="E50" s="144"/>
      <c r="F50" s="528"/>
      <c r="G50" s="144"/>
    </row>
    <row r="51" spans="2:9" ht="39.6">
      <c r="B51" s="68"/>
      <c r="C51" s="527" t="str">
        <f>[1]CFS!B53</f>
        <v>(CA. KESHAV GUPTA)</v>
      </c>
      <c r="E51" s="64"/>
      <c r="F51" s="287"/>
      <c r="G51" s="144" t="str">
        <f>PL!C43</f>
        <v>ASHWANI KUMAR SINGLA</v>
      </c>
      <c r="H51" s="144"/>
      <c r="I51" s="144"/>
    </row>
    <row r="52" spans="2:9" ht="26.4">
      <c r="B52" s="68"/>
      <c r="C52" s="527" t="str">
        <f>[1]CFS!B54</f>
        <v>PROPRIETOR</v>
      </c>
      <c r="E52" s="64"/>
      <c r="F52" s="287"/>
      <c r="G52" s="144" t="str">
        <f>PL!C44</f>
        <v>PROPRIETOR</v>
      </c>
      <c r="H52" s="144"/>
      <c r="I52" s="144"/>
    </row>
    <row r="53" spans="2:9" ht="26.4">
      <c r="B53" s="68"/>
      <c r="C53" s="527" t="str">
        <f>[1]CFS!B55</f>
        <v>(M.NO. 553123)</v>
      </c>
      <c r="D53" s="144"/>
      <c r="E53" s="64"/>
      <c r="F53" s="287"/>
      <c r="G53" s="144"/>
      <c r="H53" s="303"/>
    </row>
    <row r="54" spans="2:9" ht="39.6">
      <c r="B54" s="68"/>
      <c r="C54" s="527" t="str">
        <f>[1]CFS!B56</f>
        <v>UDIN : 25553123BMLDXE6873</v>
      </c>
      <c r="D54" s="144"/>
      <c r="E54" s="144"/>
      <c r="F54" s="528"/>
    </row>
    <row r="55" spans="2:9" ht="26.4">
      <c r="B55" s="68"/>
      <c r="C55" s="527" t="str">
        <f>[1]CFS!B57</f>
        <v xml:space="preserve">Place  : Ludhiana           </v>
      </c>
      <c r="D55" s="64"/>
      <c r="E55" s="136"/>
      <c r="F55" s="64"/>
    </row>
    <row r="56" spans="2:9" ht="26.4">
      <c r="B56" s="68"/>
      <c r="C56" s="527" t="str">
        <f>[1]CFS!B58</f>
        <v>Dated  :  04-Oct-2025</v>
      </c>
      <c r="D56" s="144"/>
      <c r="E56" s="64"/>
      <c r="F56" s="64"/>
    </row>
  </sheetData>
  <mergeCells count="12">
    <mergeCell ref="B30:B31"/>
    <mergeCell ref="C30:C31"/>
    <mergeCell ref="D30:H30"/>
    <mergeCell ref="C41:I41"/>
    <mergeCell ref="C4:I4"/>
    <mergeCell ref="C6:G6"/>
    <mergeCell ref="C10:G10"/>
    <mergeCell ref="C11:G11"/>
    <mergeCell ref="C13:G13"/>
    <mergeCell ref="B18:B19"/>
    <mergeCell ref="C18:D19"/>
    <mergeCell ref="E18:H18"/>
  </mergeCells>
  <pageMargins left="0.7" right="0.7" top="0.75" bottom="0.75" header="0.3" footer="0.3"/>
  <pageSetup paperSize="9" scale="88"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D1AA7-82EA-4A83-8626-E4E6F87934C8}">
  <dimension ref="A1:M144"/>
  <sheetViews>
    <sheetView view="pageBreakPreview" zoomScaleNormal="100" zoomScaleSheetLayoutView="100" workbookViewId="0">
      <selection activeCell="I20" sqref="I20"/>
    </sheetView>
  </sheetViews>
  <sheetFormatPr defaultColWidth="8.88671875" defaultRowHeight="13.2"/>
  <cols>
    <col min="1" max="1" width="3" style="64" bestFit="1" customWidth="1"/>
    <col min="2" max="2" width="50" style="64" customWidth="1"/>
    <col min="3" max="4" width="15.88671875" style="64" customWidth="1"/>
    <col min="5" max="5" width="14.6640625" style="64" bestFit="1" customWidth="1"/>
    <col min="6" max="6" width="15.33203125" style="64" bestFit="1" customWidth="1"/>
    <col min="7" max="7" width="14.6640625" style="64" bestFit="1" customWidth="1"/>
    <col min="8" max="8" width="15.6640625" style="64" customWidth="1"/>
    <col min="9" max="9" width="16.6640625" style="64" customWidth="1"/>
    <col min="10" max="10" width="14.6640625" style="64" bestFit="1" customWidth="1"/>
    <col min="11" max="11" width="15.33203125" style="64" bestFit="1" customWidth="1"/>
    <col min="12" max="12" width="14.6640625" style="64" bestFit="1" customWidth="1"/>
    <col min="13" max="13" width="13.5546875" style="64" bestFit="1" customWidth="1"/>
    <col min="14" max="16384" width="8.88671875" style="64"/>
  </cols>
  <sheetData>
    <row r="1" spans="1:11">
      <c r="B1" s="67" t="str">
        <f>'PL Det'!C1</f>
        <v>SINGLA STEEL CORPORATION</v>
      </c>
    </row>
    <row r="2" spans="1:11">
      <c r="B2" s="67" t="str">
        <f>[1]Notes!B2</f>
        <v>Notes to Financial Statements for the year ended 31.03.2025</v>
      </c>
    </row>
    <row r="3" spans="1:11">
      <c r="B3" s="67"/>
    </row>
    <row r="4" spans="1:11">
      <c r="A4" s="512"/>
      <c r="B4" s="530"/>
      <c r="C4" s="531" t="str">
        <f>'My Contect'!E15</f>
        <v>31.03.2025</v>
      </c>
      <c r="D4" s="531" t="str">
        <f>'My Contect'!E16</f>
        <v>31.03.2024</v>
      </c>
    </row>
    <row r="5" spans="1:11">
      <c r="A5" s="512"/>
      <c r="B5" s="530" t="s">
        <v>360</v>
      </c>
      <c r="C5" s="531"/>
      <c r="D5" s="531"/>
    </row>
    <row r="6" spans="1:11">
      <c r="A6" s="512"/>
      <c r="B6" s="532" t="s">
        <v>361</v>
      </c>
      <c r="C6" s="533">
        <f>SUMIFS('Trial 2025'!H:H,'Trial 2025'!B:B,Sheet4!B6)</f>
        <v>9407705.9900000002</v>
      </c>
      <c r="D6" s="533">
        <f>SUMIFS('Trial 2025'!J:J,'Trial 2025'!B:B,Sheet4!B6)</f>
        <v>7180440.6399999997</v>
      </c>
    </row>
    <row r="7" spans="1:11" hidden="1">
      <c r="A7" s="512"/>
      <c r="B7" s="532"/>
      <c r="C7" s="533">
        <f>SUMIFS('Trial 2025'!H:H,'Trial 2025'!B:B,Sheet4!B7)</f>
        <v>0</v>
      </c>
      <c r="D7" s="533">
        <f>SUMIFS('Trial 2025'!J:J,'Trial 2025'!B:B,Sheet4!B7)</f>
        <v>0</v>
      </c>
    </row>
    <row r="8" spans="1:11" hidden="1">
      <c r="A8" s="512"/>
      <c r="B8" s="532"/>
      <c r="C8" s="533">
        <f>SUMIFS('Trial 2025'!H:H,'Trial 2025'!B:B,Sheet4!B8)</f>
        <v>0</v>
      </c>
      <c r="D8" s="533">
        <f>SUMIFS('Trial 2025'!J:J,'Trial 2025'!B:B,Sheet4!B8)</f>
        <v>0</v>
      </c>
    </row>
    <row r="9" spans="1:11" hidden="1">
      <c r="A9" s="512"/>
      <c r="B9" s="532"/>
      <c r="C9" s="533">
        <f>SUMIFS('Trial 2025'!H:H,'Trial 2025'!B:B,Sheet4!B9)</f>
        <v>0</v>
      </c>
      <c r="D9" s="533">
        <f>SUMIFS('Trial 2025'!J:J,'Trial 2025'!B:B,Sheet4!B9)</f>
        <v>0</v>
      </c>
    </row>
    <row r="10" spans="1:11">
      <c r="A10" s="512"/>
      <c r="B10" s="512"/>
      <c r="C10" s="531"/>
      <c r="D10" s="531"/>
    </row>
    <row r="11" spans="1:11">
      <c r="A11" s="512"/>
      <c r="B11" s="512"/>
      <c r="C11" s="534">
        <f>SUM(C6:C10)</f>
        <v>9407705.9900000002</v>
      </c>
      <c r="D11" s="534">
        <f>SUM(D6:D10)</f>
        <v>7180440.6399999997</v>
      </c>
    </row>
    <row r="12" spans="1:11">
      <c r="A12" s="512"/>
      <c r="B12" s="530"/>
      <c r="C12" s="531"/>
      <c r="D12" s="531"/>
      <c r="E12" s="67" t="s">
        <v>362</v>
      </c>
      <c r="F12" s="67" t="s">
        <v>363</v>
      </c>
      <c r="G12" s="67" t="s">
        <v>364</v>
      </c>
      <c r="H12" s="67" t="s">
        <v>365</v>
      </c>
      <c r="I12" s="67" t="s">
        <v>366</v>
      </c>
      <c r="J12" s="67" t="s">
        <v>367</v>
      </c>
      <c r="K12" s="67" t="s">
        <v>101</v>
      </c>
    </row>
    <row r="13" spans="1:11">
      <c r="A13" s="512"/>
      <c r="B13" s="530" t="s">
        <v>368</v>
      </c>
      <c r="C13" s="531"/>
      <c r="D13" s="531"/>
    </row>
    <row r="14" spans="1:11">
      <c r="A14" s="512"/>
      <c r="B14" s="532" t="s">
        <v>369</v>
      </c>
      <c r="C14" s="533">
        <f>SUMIFS('Trial 2025'!H:H,'Trial 2025'!B:B,Sheet4!B14)</f>
        <v>0</v>
      </c>
      <c r="D14" s="533">
        <f>SUMIFS('Trial 2025'!J:J,'Trial 2025'!B:B,Sheet4!B14)</f>
        <v>16473117</v>
      </c>
      <c r="E14" s="500">
        <f t="shared" ref="E14:E15" si="0">D14</f>
        <v>16473117</v>
      </c>
      <c r="F14" s="124">
        <f>78545947-E14</f>
        <v>62072830</v>
      </c>
      <c r="G14" s="120">
        <v>78545947</v>
      </c>
      <c r="H14" s="64">
        <v>0</v>
      </c>
      <c r="I14" s="64">
        <v>0</v>
      </c>
      <c r="J14" s="64">
        <f t="shared" ref="J14:J20" si="1">E14+F14-G14+H14-I14</f>
        <v>0</v>
      </c>
      <c r="K14" s="64">
        <f t="shared" ref="K14:K20" si="2">C14-J14</f>
        <v>0</v>
      </c>
    </row>
    <row r="15" spans="1:11">
      <c r="A15" s="512"/>
      <c r="B15" s="532" t="s">
        <v>370</v>
      </c>
      <c r="C15" s="533">
        <f>SUMIFS('Trial 2025'!H:H,'Trial 2025'!B:B,Sheet4!B15)</f>
        <v>4365237</v>
      </c>
      <c r="D15" s="533">
        <f>SUMIFS('Trial 2025'!J:J,'Trial 2025'!B:B,Sheet4!B15)</f>
        <v>3957616</v>
      </c>
      <c r="E15" s="500">
        <f t="shared" si="0"/>
        <v>3957616</v>
      </c>
      <c r="F15" s="124">
        <f>4664537-E15</f>
        <v>706921</v>
      </c>
      <c r="G15" s="120">
        <v>299300</v>
      </c>
      <c r="H15" s="64">
        <v>0</v>
      </c>
      <c r="I15" s="64">
        <v>0</v>
      </c>
      <c r="J15" s="67">
        <f t="shared" si="1"/>
        <v>4365237</v>
      </c>
      <c r="K15" s="64">
        <f t="shared" si="2"/>
        <v>0</v>
      </c>
    </row>
    <row r="16" spans="1:11">
      <c r="A16" s="512"/>
      <c r="B16" s="532" t="s">
        <v>371</v>
      </c>
      <c r="C16" s="533">
        <f>SUMIFS('Trial 2025'!H:H,'Trial 2025'!B:B,Sheet4!B16)</f>
        <v>4591958</v>
      </c>
      <c r="D16" s="533">
        <f>SUMIFS('Trial 2025'!J:J,'Trial 2025'!B:B,Sheet4!B16)</f>
        <v>4194995</v>
      </c>
      <c r="E16" s="500">
        <f>D16</f>
        <v>4194995</v>
      </c>
      <c r="F16" s="124">
        <f>160000+748+14790+135225+186200</f>
        <v>496963</v>
      </c>
      <c r="G16" s="120">
        <v>100000</v>
      </c>
      <c r="J16" s="67">
        <f t="shared" si="1"/>
        <v>4591958</v>
      </c>
      <c r="K16" s="64">
        <f t="shared" si="2"/>
        <v>0</v>
      </c>
    </row>
    <row r="17" spans="1:12">
      <c r="A17" s="512"/>
      <c r="B17" s="532" t="s">
        <v>372</v>
      </c>
      <c r="C17" s="533">
        <f>SUMIFS('Trial 2025'!H:H,'Trial 2025'!B:B,Sheet4!B17)</f>
        <v>7836374</v>
      </c>
      <c r="D17" s="533">
        <f>SUMIFS('Trial 2025'!J:J,'Trial 2025'!B:B,Sheet4!B17)</f>
        <v>8765010</v>
      </c>
      <c r="E17" s="500">
        <f t="shared" ref="E17:E20" si="3">D17</f>
        <v>8765010</v>
      </c>
      <c r="F17" s="124">
        <f>10436299-E17</f>
        <v>1671289</v>
      </c>
      <c r="G17" s="120">
        <v>2599925</v>
      </c>
      <c r="J17" s="64">
        <f t="shared" si="1"/>
        <v>7836374</v>
      </c>
      <c r="K17" s="64">
        <f t="shared" si="2"/>
        <v>0</v>
      </c>
    </row>
    <row r="18" spans="1:12">
      <c r="A18" s="512"/>
      <c r="B18" s="532" t="s">
        <v>373</v>
      </c>
      <c r="C18" s="533">
        <f>SUMIFS('Trial 2025'!H:H,'Trial 2025'!B:B,Sheet4!B18)</f>
        <v>0</v>
      </c>
      <c r="D18" s="533">
        <f>SUMIFS('Trial 2025'!J:J,'Trial 2025'!B:B,Sheet4!B18)</f>
        <v>5234036</v>
      </c>
      <c r="E18" s="500">
        <f t="shared" si="3"/>
        <v>5234036</v>
      </c>
      <c r="F18" s="120">
        <f>7141080-E18</f>
        <v>1907044</v>
      </c>
      <c r="G18" s="120">
        <v>7141080</v>
      </c>
      <c r="J18" s="64">
        <f t="shared" si="1"/>
        <v>0</v>
      </c>
      <c r="K18" s="64">
        <f t="shared" si="2"/>
        <v>0</v>
      </c>
    </row>
    <row r="19" spans="1:12">
      <c r="A19" s="512"/>
      <c r="B19" s="532" t="s">
        <v>374</v>
      </c>
      <c r="C19" s="533">
        <f>SUMIFS('Trial 2025'!H:H,'Trial 2025'!B:B,Sheet4!B19)</f>
        <v>1074600</v>
      </c>
      <c r="D19" s="533">
        <f>SUMIFS('Trial 2025'!J:J,'Trial 2025'!B:B,Sheet4!B19)</f>
        <v>0</v>
      </c>
      <c r="E19" s="500">
        <f t="shared" si="3"/>
        <v>0</v>
      </c>
      <c r="F19" s="120">
        <v>1074600</v>
      </c>
      <c r="J19" s="67">
        <f t="shared" si="1"/>
        <v>1074600</v>
      </c>
      <c r="K19" s="64">
        <f t="shared" si="2"/>
        <v>0</v>
      </c>
    </row>
    <row r="20" spans="1:12">
      <c r="A20" s="512"/>
      <c r="B20" s="532" t="s">
        <v>375</v>
      </c>
      <c r="C20" s="533">
        <f>SUMIFS('Trial 2025'!H:H,'Trial 2025'!B:B,Sheet4!B20)</f>
        <v>1319800</v>
      </c>
      <c r="D20" s="533">
        <f>SUMIFS('Trial 2025'!J:J,'Trial 2025'!B:B,Sheet4!B20)</f>
        <v>0</v>
      </c>
      <c r="E20" s="500">
        <f t="shared" si="3"/>
        <v>0</v>
      </c>
      <c r="F20" s="120">
        <v>1319800</v>
      </c>
      <c r="J20" s="67">
        <f t="shared" si="1"/>
        <v>1319800</v>
      </c>
      <c r="K20" s="64">
        <f t="shared" si="2"/>
        <v>0</v>
      </c>
    </row>
    <row r="21" spans="1:12">
      <c r="A21" s="512"/>
      <c r="B21" s="532"/>
      <c r="C21" s="533"/>
      <c r="D21" s="533"/>
    </row>
    <row r="22" spans="1:12">
      <c r="A22" s="512"/>
      <c r="B22" s="532"/>
      <c r="C22" s="533"/>
      <c r="D22" s="533"/>
    </row>
    <row r="23" spans="1:12">
      <c r="A23" s="512"/>
      <c r="B23" s="512"/>
      <c r="C23" s="534">
        <f>SUM(C14:C21)</f>
        <v>19187969</v>
      </c>
      <c r="D23" s="534">
        <f>SUM(D14:D21)</f>
        <v>38624774</v>
      </c>
    </row>
    <row r="24" spans="1:12">
      <c r="A24" s="512"/>
      <c r="B24" s="512"/>
      <c r="C24" s="531"/>
      <c r="D24" s="531"/>
    </row>
    <row r="25" spans="1:12">
      <c r="A25" s="512"/>
      <c r="B25" s="530" t="s">
        <v>196</v>
      </c>
      <c r="C25" s="531" t="str">
        <f>C4</f>
        <v>31.03.2025</v>
      </c>
      <c r="D25" s="531" t="str">
        <f>D4</f>
        <v>31.03.2024</v>
      </c>
    </row>
    <row r="26" spans="1:12" ht="26.4">
      <c r="A26" s="535" t="s">
        <v>263</v>
      </c>
      <c r="B26" s="536" t="s">
        <v>197</v>
      </c>
      <c r="C26" s="512"/>
      <c r="D26" s="512"/>
    </row>
    <row r="27" spans="1:12">
      <c r="A27" s="535"/>
      <c r="B27" s="532"/>
      <c r="C27" s="533"/>
      <c r="D27" s="533"/>
    </row>
    <row r="28" spans="1:12">
      <c r="A28" s="535"/>
      <c r="B28" s="532"/>
      <c r="C28" s="537">
        <f>SUM(C27:C27)</f>
        <v>0</v>
      </c>
      <c r="D28" s="537">
        <f>SUM(D27:D27)</f>
        <v>0</v>
      </c>
    </row>
    <row r="29" spans="1:12" ht="26.4">
      <c r="A29" s="535" t="s">
        <v>265</v>
      </c>
      <c r="B29" s="536" t="s">
        <v>198</v>
      </c>
      <c r="C29" s="512"/>
      <c r="D29" s="512"/>
      <c r="E29" s="538" t="s">
        <v>376</v>
      </c>
      <c r="F29" s="538" t="s">
        <v>346</v>
      </c>
      <c r="G29" s="538" t="s">
        <v>347</v>
      </c>
      <c r="H29" s="538" t="s">
        <v>348</v>
      </c>
      <c r="I29" s="538" t="s">
        <v>185</v>
      </c>
    </row>
    <row r="30" spans="1:12">
      <c r="A30" s="512"/>
      <c r="B30" s="532" t="s">
        <v>377</v>
      </c>
      <c r="C30" s="533">
        <f>SUMIFS('Trial 2025'!H:H,'Trial 2025'!B:B,Sheet4!B30)</f>
        <v>0</v>
      </c>
      <c r="D30" s="533">
        <f>SUMIFS('Trial 2025'!J:J,'Trial 2025'!B:B,Sheet4!B30)</f>
        <v>55371</v>
      </c>
      <c r="E30" s="433"/>
      <c r="F30" s="433"/>
      <c r="G30" s="433"/>
      <c r="H30" s="433">
        <f>C30-E30-F30-G30</f>
        <v>0</v>
      </c>
      <c r="I30" s="433">
        <f>SUM(E30:H30)</f>
        <v>0</v>
      </c>
      <c r="K30" s="100">
        <f>IFERROR(VLOOKUP(B30,'Trial 2025'!B:H,9,0),)</f>
        <v>0</v>
      </c>
      <c r="L30" s="100">
        <f>C30-K30</f>
        <v>0</v>
      </c>
    </row>
    <row r="31" spans="1:12">
      <c r="A31" s="512"/>
      <c r="B31" s="532" t="s">
        <v>378</v>
      </c>
      <c r="C31" s="533">
        <f>SUMIFS('Trial 2025'!H:H,'Trial 2025'!B:B,Sheet4!B31)</f>
        <v>14091808</v>
      </c>
      <c r="D31" s="533">
        <f>SUMIFS('Trial 2025'!J:J,'Trial 2025'!B:B,Sheet4!B31)</f>
        <v>15085398</v>
      </c>
      <c r="E31" s="433"/>
      <c r="F31" s="433"/>
      <c r="G31" s="433"/>
      <c r="H31" s="433">
        <f t="shared" ref="H31:H43" si="4">C31-E31-F31-G31</f>
        <v>14091808</v>
      </c>
      <c r="I31" s="433">
        <f t="shared" ref="I31:I43" si="5">SUM(E31:H31)</f>
        <v>14091808</v>
      </c>
      <c r="K31" s="100">
        <f>IFERROR(VLOOKUP(B31,'Trial 2025'!B:H,9,0),)</f>
        <v>0</v>
      </c>
      <c r="L31" s="100">
        <f>C31-K31</f>
        <v>14091808</v>
      </c>
    </row>
    <row r="32" spans="1:12">
      <c r="A32" s="512"/>
      <c r="B32" s="532" t="s">
        <v>379</v>
      </c>
      <c r="C32" s="533">
        <f>SUMIFS('Trial 2025'!H:H,'Trial 2025'!B:B,Sheet4!B32)</f>
        <v>0</v>
      </c>
      <c r="D32" s="533">
        <f>SUMIFS('Trial 2025'!J:J,'Trial 2025'!B:B,Sheet4!B32)</f>
        <v>231024</v>
      </c>
      <c r="E32" s="433"/>
      <c r="F32" s="433"/>
      <c r="G32" s="433"/>
      <c r="H32" s="433">
        <f t="shared" si="4"/>
        <v>0</v>
      </c>
      <c r="I32" s="433">
        <f t="shared" si="5"/>
        <v>0</v>
      </c>
      <c r="K32" s="100">
        <f>IFERROR(VLOOKUP(B32,'Trial 2025'!B:H,9,0),)</f>
        <v>0</v>
      </c>
      <c r="L32" s="100">
        <f>C32-K32</f>
        <v>0</v>
      </c>
    </row>
    <row r="33" spans="1:13">
      <c r="A33" s="512"/>
      <c r="B33" s="532" t="s">
        <v>380</v>
      </c>
      <c r="C33" s="533">
        <f>SUMIFS('Trial 2025'!H:H,'Trial 2025'!B:B,Sheet4!B33)</f>
        <v>0</v>
      </c>
      <c r="D33" s="533">
        <f>SUMIFS('Trial 2025'!J:J,'Trial 2025'!B:B,Sheet4!B33)</f>
        <v>100000</v>
      </c>
      <c r="E33" s="433"/>
      <c r="F33" s="433"/>
      <c r="G33" s="433"/>
      <c r="H33" s="433">
        <f t="shared" si="4"/>
        <v>0</v>
      </c>
      <c r="I33" s="433">
        <f t="shared" si="5"/>
        <v>0</v>
      </c>
      <c r="K33" s="100">
        <f>IFERROR(VLOOKUP(B33,'Trial 2025'!B:H,9,0),)</f>
        <v>0</v>
      </c>
      <c r="L33" s="100">
        <f>C33-K33</f>
        <v>0</v>
      </c>
    </row>
    <row r="34" spans="1:13">
      <c r="A34" s="512"/>
      <c r="B34" s="532" t="s">
        <v>381</v>
      </c>
      <c r="C34" s="533">
        <f>SUMIFS('Trial 2025'!H:H,'Trial 2025'!B:B,Sheet4!B34)</f>
        <v>149858</v>
      </c>
      <c r="D34" s="533">
        <f>SUMIFS('Trial 2025'!J:J,'Trial 2025'!B:B,Sheet4!B34)</f>
        <v>28385</v>
      </c>
      <c r="E34" s="433">
        <f>C34</f>
        <v>149858</v>
      </c>
      <c r="F34" s="433"/>
      <c r="G34" s="433"/>
      <c r="H34" s="433">
        <f t="shared" si="4"/>
        <v>0</v>
      </c>
      <c r="I34" s="433">
        <f t="shared" si="5"/>
        <v>149858</v>
      </c>
      <c r="K34" s="100">
        <f>IFERROR(VLOOKUP(B34,'Trial 2025'!B:H,9,0),)</f>
        <v>0</v>
      </c>
      <c r="L34" s="100">
        <f>C34-K34</f>
        <v>149858</v>
      </c>
    </row>
    <row r="35" spans="1:13">
      <c r="A35" s="512"/>
      <c r="B35" s="532" t="s">
        <v>382</v>
      </c>
      <c r="C35" s="533">
        <f>SUMIFS('Trial 2025'!H:H,'Trial 2025'!B:B,Sheet4!B35)</f>
        <v>0</v>
      </c>
      <c r="D35" s="533">
        <f>SUMIFS('Trial 2025'!J:J,'Trial 2025'!B:B,Sheet4!B35)</f>
        <v>865</v>
      </c>
      <c r="E35" s="433"/>
      <c r="F35" s="433"/>
      <c r="G35" s="433"/>
      <c r="H35" s="433">
        <f t="shared" si="4"/>
        <v>0</v>
      </c>
      <c r="I35" s="433">
        <f t="shared" si="5"/>
        <v>0</v>
      </c>
      <c r="K35" s="100"/>
      <c r="L35" s="100"/>
    </row>
    <row r="36" spans="1:13">
      <c r="A36" s="512"/>
      <c r="B36" s="532" t="s">
        <v>383</v>
      </c>
      <c r="C36" s="533">
        <f>SUMIFS('Trial 2025'!H:H,'Trial 2025'!B:B,Sheet4!B36)</f>
        <v>105750</v>
      </c>
      <c r="D36" s="533">
        <f>SUMIFS('Trial 2025'!J:J,'Trial 2025'!B:B,Sheet4!B36)</f>
        <v>122634</v>
      </c>
      <c r="E36" s="433">
        <f>C36</f>
        <v>105750</v>
      </c>
      <c r="F36" s="433"/>
      <c r="G36" s="433"/>
      <c r="H36" s="433">
        <f t="shared" si="4"/>
        <v>0</v>
      </c>
      <c r="I36" s="433">
        <f t="shared" si="5"/>
        <v>105750</v>
      </c>
      <c r="K36" s="100"/>
      <c r="L36" s="100"/>
    </row>
    <row r="37" spans="1:13">
      <c r="A37" s="512"/>
      <c r="B37" s="532" t="s">
        <v>384</v>
      </c>
      <c r="C37" s="533">
        <f>SUMIFS('Trial 2025'!H:H,'Trial 2025'!B:B,Sheet4!B37)</f>
        <v>0</v>
      </c>
      <c r="D37" s="533">
        <f>SUMIFS('Trial 2025'!J:J,'Trial 2025'!B:B,Sheet4!B37)</f>
        <v>63668</v>
      </c>
      <c r="E37" s="433"/>
      <c r="F37" s="433"/>
      <c r="G37" s="433"/>
      <c r="H37" s="433">
        <f t="shared" si="4"/>
        <v>0</v>
      </c>
      <c r="I37" s="433">
        <f t="shared" si="5"/>
        <v>0</v>
      </c>
      <c r="K37" s="100"/>
      <c r="L37" s="100"/>
    </row>
    <row r="38" spans="1:13">
      <c r="A38" s="512"/>
      <c r="B38" s="532" t="s">
        <v>385</v>
      </c>
      <c r="C38" s="533">
        <f>SUMIFS('Trial 2025'!H:H,'Trial 2025'!B:B,Sheet4!B38)</f>
        <v>0</v>
      </c>
      <c r="D38" s="533">
        <f>SUMIFS('Trial 2025'!J:J,'Trial 2025'!B:B,Sheet4!B38)</f>
        <v>426208</v>
      </c>
      <c r="E38" s="433">
        <f>C38</f>
        <v>0</v>
      </c>
      <c r="F38" s="433"/>
      <c r="G38" s="433"/>
      <c r="H38" s="433">
        <f t="shared" si="4"/>
        <v>0</v>
      </c>
      <c r="I38" s="433">
        <f t="shared" si="5"/>
        <v>0</v>
      </c>
      <c r="K38" s="100"/>
      <c r="L38" s="100"/>
    </row>
    <row r="39" spans="1:13">
      <c r="A39" s="512"/>
      <c r="B39" s="532" t="s">
        <v>386</v>
      </c>
      <c r="C39" s="533">
        <f>SUMIFS('Trial 2025'!H:H,'Trial 2025'!B:B,Sheet4!B39)</f>
        <v>34.64</v>
      </c>
      <c r="D39" s="533">
        <f>SUMIFS('Trial 2025'!J:J,'Trial 2025'!B:B,Sheet4!B39)</f>
        <v>193.64</v>
      </c>
      <c r="E39" s="433"/>
      <c r="F39" s="433"/>
      <c r="G39" s="433"/>
      <c r="H39" s="433">
        <f t="shared" si="4"/>
        <v>34.64</v>
      </c>
      <c r="I39" s="433">
        <f t="shared" si="5"/>
        <v>34.64</v>
      </c>
      <c r="K39" s="100"/>
      <c r="L39" s="100"/>
    </row>
    <row r="40" spans="1:13">
      <c r="A40" s="512"/>
      <c r="B40" s="532" t="s">
        <v>387</v>
      </c>
      <c r="C40" s="533">
        <f>SUMIFS('Trial 2025'!H:H,'Trial 2025'!B:B,Sheet4!B40)</f>
        <v>0</v>
      </c>
      <c r="D40" s="533">
        <f>SUMIFS('Trial 2025'!J:J,'Trial 2025'!B:B,Sheet4!B40)</f>
        <v>2334684</v>
      </c>
      <c r="E40" s="433">
        <f>C40</f>
        <v>0</v>
      </c>
      <c r="F40" s="433"/>
      <c r="G40" s="433"/>
      <c r="H40" s="433">
        <f t="shared" si="4"/>
        <v>0</v>
      </c>
      <c r="I40" s="433">
        <f t="shared" si="5"/>
        <v>0</v>
      </c>
      <c r="K40" s="100"/>
      <c r="L40" s="100"/>
    </row>
    <row r="41" spans="1:13">
      <c r="A41" s="512"/>
      <c r="B41" s="532" t="s">
        <v>388</v>
      </c>
      <c r="C41" s="533">
        <f>SUMIFS('Trial 2025'!H:H,'Trial 2025'!B:B,Sheet4!B41)</f>
        <v>0</v>
      </c>
      <c r="D41" s="533">
        <f>SUMIFS('Trial 2025'!J:J,'Trial 2025'!B:B,Sheet4!B41)</f>
        <v>40139</v>
      </c>
      <c r="E41" s="433"/>
      <c r="F41" s="433"/>
      <c r="G41" s="433"/>
      <c r="H41" s="433">
        <f t="shared" si="4"/>
        <v>0</v>
      </c>
      <c r="I41" s="433">
        <f t="shared" si="5"/>
        <v>0</v>
      </c>
      <c r="K41" s="100"/>
      <c r="L41" s="100"/>
    </row>
    <row r="42" spans="1:13">
      <c r="A42" s="512"/>
      <c r="B42" s="532" t="s">
        <v>389</v>
      </c>
      <c r="C42" s="533">
        <f>SUMIFS('Trial 2025'!H:H,'Trial 2025'!B:B,Sheet4!B42)</f>
        <v>1496414</v>
      </c>
      <c r="D42" s="533"/>
      <c r="E42" s="433">
        <f>C42</f>
        <v>1496414</v>
      </c>
      <c r="F42" s="433"/>
      <c r="G42" s="433"/>
      <c r="H42" s="433">
        <f t="shared" si="4"/>
        <v>0</v>
      </c>
      <c r="I42" s="433">
        <f t="shared" si="5"/>
        <v>1496414</v>
      </c>
      <c r="K42" s="100"/>
      <c r="L42" s="100"/>
    </row>
    <row r="43" spans="1:13">
      <c r="A43" s="512"/>
      <c r="B43" s="532" t="s">
        <v>390</v>
      </c>
      <c r="C43" s="533">
        <f>SUMIFS('Trial 2025'!H:H,'Trial 2025'!B:B,Sheet4!B43)</f>
        <v>2351</v>
      </c>
      <c r="D43" s="533"/>
      <c r="E43" s="433">
        <f t="shared" ref="E43" si="6">C43</f>
        <v>2351</v>
      </c>
      <c r="F43" s="433"/>
      <c r="G43" s="433"/>
      <c r="H43" s="433">
        <f t="shared" si="4"/>
        <v>0</v>
      </c>
      <c r="I43" s="433">
        <f t="shared" si="5"/>
        <v>2351</v>
      </c>
      <c r="K43" s="100"/>
      <c r="L43" s="100"/>
    </row>
    <row r="44" spans="1:13">
      <c r="A44" s="512"/>
      <c r="B44" s="532"/>
      <c r="C44" s="533"/>
      <c r="D44" s="533"/>
      <c r="E44" s="512"/>
      <c r="F44" s="512"/>
      <c r="G44" s="512"/>
      <c r="H44" s="512"/>
      <c r="I44" s="512"/>
    </row>
    <row r="45" spans="1:13">
      <c r="A45" s="512"/>
      <c r="B45" s="512"/>
      <c r="C45" s="537">
        <f t="shared" ref="C45:I45" si="7">SUM(C30:C44)</f>
        <v>15846215.640000001</v>
      </c>
      <c r="D45" s="537">
        <f t="shared" si="7"/>
        <v>18488569.640000001</v>
      </c>
      <c r="E45" s="537">
        <f t="shared" si="7"/>
        <v>1754373</v>
      </c>
      <c r="F45" s="537">
        <f t="shared" si="7"/>
        <v>0</v>
      </c>
      <c r="G45" s="537">
        <f t="shared" si="7"/>
        <v>0</v>
      </c>
      <c r="H45" s="537">
        <f t="shared" si="7"/>
        <v>14091842.640000001</v>
      </c>
      <c r="I45" s="537">
        <f t="shared" si="7"/>
        <v>15846215.640000001</v>
      </c>
      <c r="K45" s="100">
        <f>SUM(K30:K44)</f>
        <v>0</v>
      </c>
      <c r="L45" s="64">
        <v>24996055.109999999</v>
      </c>
      <c r="M45" s="101">
        <f>C45-L45</f>
        <v>-9149839.4699999988</v>
      </c>
    </row>
    <row r="46" spans="1:13">
      <c r="A46" s="512"/>
      <c r="B46" s="512"/>
      <c r="C46" s="537"/>
      <c r="D46" s="537"/>
      <c r="K46" s="100">
        <v>14754033</v>
      </c>
    </row>
    <row r="47" spans="1:13">
      <c r="A47" s="512"/>
      <c r="B47" s="512"/>
      <c r="C47" s="537">
        <f>C28+C45</f>
        <v>15846215.640000001</v>
      </c>
      <c r="D47" s="537">
        <f>D28+D45</f>
        <v>18488569.640000001</v>
      </c>
      <c r="K47" s="100">
        <f>K45-K46</f>
        <v>-14754033</v>
      </c>
    </row>
    <row r="48" spans="1:13">
      <c r="A48" s="512"/>
      <c r="B48" s="512"/>
      <c r="C48" s="537"/>
      <c r="D48" s="537"/>
    </row>
    <row r="49" spans="1:4">
      <c r="A49" s="512"/>
      <c r="B49" s="530" t="s">
        <v>204</v>
      </c>
      <c r="C49" s="531" t="str">
        <f>C57</f>
        <v>31.03.2025</v>
      </c>
      <c r="D49" s="531" t="str">
        <f>D57</f>
        <v>31.03.2024</v>
      </c>
    </row>
    <row r="50" spans="1:4">
      <c r="A50" s="512"/>
      <c r="B50" s="532" t="s">
        <v>391</v>
      </c>
      <c r="C50" s="533">
        <f>SUMIFS('Trial 2025'!H:H,'Trial 2025'!B:B,Sheet4!B50)</f>
        <v>13710.840000000026</v>
      </c>
      <c r="D50" s="533">
        <f>SUMIFS('Trial 2025'!J:J,'Trial 2025'!B:B,Sheet4!B50)</f>
        <v>1100</v>
      </c>
    </row>
    <row r="51" spans="1:4">
      <c r="A51" s="512"/>
      <c r="B51" s="532" t="s">
        <v>392</v>
      </c>
      <c r="C51" s="533">
        <f>SUMIFS('Trial 2025'!H:H,'Trial 2025'!B:B,Sheet4!B51)</f>
        <v>142007</v>
      </c>
      <c r="D51" s="533">
        <f>SUMIFS('Trial 2025'!J:J,'Trial 2025'!B:B,Sheet4!B51)</f>
        <v>236993</v>
      </c>
    </row>
    <row r="52" spans="1:4">
      <c r="A52" s="512"/>
      <c r="B52" s="532" t="s">
        <v>393</v>
      </c>
      <c r="C52" s="533">
        <f>SUMIFS('Trial 2025'!H:H,'Trial 2025'!B:B,Sheet4!B52)</f>
        <v>0</v>
      </c>
      <c r="D52" s="533">
        <f>SUMIFS('Trial 2025'!J:J,'Trial 2025'!B:B,Sheet4!B52)</f>
        <v>122981</v>
      </c>
    </row>
    <row r="53" spans="1:4">
      <c r="A53" s="512"/>
      <c r="B53" s="532" t="s">
        <v>394</v>
      </c>
      <c r="C53" s="533">
        <f>SUMIFS('Trial 2025'!H:H,'Trial 2025'!B:B,Sheet4!B53)</f>
        <v>40598</v>
      </c>
      <c r="D53" s="533">
        <f>SUMIFS('Trial 2025'!J:J,'Trial 2025'!B:B,Sheet4!B53)</f>
        <v>0</v>
      </c>
    </row>
    <row r="54" spans="1:4">
      <c r="A54" s="512"/>
      <c r="B54" s="532"/>
      <c r="C54" s="533"/>
      <c r="D54" s="533"/>
    </row>
    <row r="55" spans="1:4">
      <c r="A55" s="512"/>
      <c r="B55" s="512"/>
      <c r="C55" s="537">
        <f>SUM(C50:C54)</f>
        <v>196315.84000000003</v>
      </c>
      <c r="D55" s="537">
        <f>SUM(D50:D54)</f>
        <v>361074</v>
      </c>
    </row>
    <row r="56" spans="1:4">
      <c r="A56" s="512"/>
      <c r="B56" s="512"/>
      <c r="C56" s="537"/>
      <c r="D56" s="537"/>
    </row>
    <row r="57" spans="1:4">
      <c r="A57" s="512"/>
      <c r="B57" s="530" t="s">
        <v>395</v>
      </c>
      <c r="C57" s="531" t="str">
        <f>C4</f>
        <v>31.03.2025</v>
      </c>
      <c r="D57" s="531" t="str">
        <f>D4</f>
        <v>31.03.2024</v>
      </c>
    </row>
    <row r="58" spans="1:4">
      <c r="A58" s="512"/>
      <c r="B58" s="532" t="s">
        <v>396</v>
      </c>
      <c r="C58" s="533">
        <f>SUMIFS('Trial 2025'!H:H,'Trial 2025'!B:B,Sheet4!B58)</f>
        <v>67365</v>
      </c>
      <c r="D58" s="533"/>
    </row>
    <row r="59" spans="1:4">
      <c r="A59" s="512"/>
      <c r="B59" s="532" t="s">
        <v>397</v>
      </c>
      <c r="C59" s="533">
        <f>SUMIFS('Trial 2025'!H:H,'Trial 2025'!B:B,Sheet4!B59)</f>
        <v>40</v>
      </c>
      <c r="D59" s="533"/>
    </row>
    <row r="60" spans="1:4">
      <c r="A60" s="512"/>
      <c r="B60" s="532"/>
      <c r="C60" s="533"/>
      <c r="D60" s="533"/>
    </row>
    <row r="61" spans="1:4">
      <c r="A61" s="512"/>
      <c r="B61" s="512"/>
      <c r="C61" s="537">
        <f>SUM(C58:C60)</f>
        <v>67405</v>
      </c>
      <c r="D61" s="537">
        <f>SUM(D58:D60)</f>
        <v>0</v>
      </c>
    </row>
    <row r="62" spans="1:4">
      <c r="A62" s="512"/>
      <c r="B62" s="512"/>
      <c r="C62" s="537"/>
      <c r="D62" s="537"/>
    </row>
    <row r="63" spans="1:4">
      <c r="A63" s="512"/>
      <c r="B63" s="524" t="s">
        <v>398</v>
      </c>
      <c r="C63" s="531" t="str">
        <f>C57</f>
        <v>31.03.2025</v>
      </c>
      <c r="D63" s="531" t="str">
        <f>D57</f>
        <v>31.03.2024</v>
      </c>
    </row>
    <row r="64" spans="1:4">
      <c r="A64" s="512"/>
      <c r="B64" s="532" t="s">
        <v>399</v>
      </c>
      <c r="C64" s="533">
        <f>SUMIFS('Trial 2025'!H:H,'Trial 2025'!B:B,Sheet4!B64)</f>
        <v>0</v>
      </c>
      <c r="D64" s="533">
        <f>SUMIFS('Trial 2025'!J:J,'Trial 2025'!B:B,Sheet4!B64)</f>
        <v>0</v>
      </c>
    </row>
    <row r="65" spans="1:10">
      <c r="A65" s="512"/>
      <c r="B65" s="532" t="s">
        <v>400</v>
      </c>
      <c r="C65" s="533">
        <f>SUMIFS('Trial 2025'!H:H,'Trial 2025'!B:B,Sheet4!B65)</f>
        <v>0</v>
      </c>
      <c r="D65" s="533">
        <f>SUMIFS('Trial 2025'!J:J,'Trial 2025'!B:B,Sheet4!B65)</f>
        <v>2340</v>
      </c>
    </row>
    <row r="66" spans="1:10">
      <c r="A66" s="512"/>
      <c r="B66" s="532" t="s">
        <v>401</v>
      </c>
      <c r="C66" s="533">
        <f>SUMIFS('Trial 2025'!H:H,'Trial 2025'!B:B,Sheet4!B66)</f>
        <v>0</v>
      </c>
      <c r="D66" s="533">
        <f>SUMIFS('Trial 2025'!J:J,'Trial 2025'!B:B,Sheet4!B66)</f>
        <v>0</v>
      </c>
    </row>
    <row r="67" spans="1:10">
      <c r="A67" s="512"/>
      <c r="B67" s="532"/>
      <c r="C67" s="533"/>
      <c r="D67" s="533"/>
    </row>
    <row r="68" spans="1:10">
      <c r="A68" s="512"/>
      <c r="B68" s="539"/>
      <c r="C68" s="540">
        <f>SUM(C64:C66)</f>
        <v>0</v>
      </c>
      <c r="D68" s="540">
        <f>SUM(D64:D66)</f>
        <v>2340</v>
      </c>
    </row>
    <row r="70" spans="1:10" ht="26.4">
      <c r="A70" s="512"/>
      <c r="B70" s="524" t="s">
        <v>251</v>
      </c>
      <c r="C70" s="541" t="str">
        <f>C63</f>
        <v>31.03.2025</v>
      </c>
      <c r="D70" s="541" t="str">
        <f>D63</f>
        <v>31.03.2024</v>
      </c>
      <c r="E70" s="538" t="s">
        <v>353</v>
      </c>
      <c r="F70" s="538" t="s">
        <v>354</v>
      </c>
      <c r="G70" s="538" t="s">
        <v>346</v>
      </c>
      <c r="H70" s="538" t="s">
        <v>347</v>
      </c>
      <c r="I70" s="538" t="s">
        <v>348</v>
      </c>
      <c r="J70" s="538" t="s">
        <v>185</v>
      </c>
    </row>
    <row r="71" spans="1:10">
      <c r="A71" s="512"/>
      <c r="B71" s="532" t="s">
        <v>402</v>
      </c>
      <c r="C71" s="533">
        <f>SUMIFS('Trial 2025'!G:G,'Trial 2025'!B:B,Sheet4!B71)</f>
        <v>0</v>
      </c>
      <c r="D71" s="533">
        <f>SUMIFS('Trial 2025'!I:I,'Trial 2025'!B:B,Sheet4!B71)</f>
        <v>160676</v>
      </c>
      <c r="E71" s="433">
        <f t="shared" ref="E71:E116" si="8">C71</f>
        <v>0</v>
      </c>
      <c r="F71" s="433"/>
      <c r="G71" s="542"/>
      <c r="H71" s="433"/>
      <c r="I71" s="433">
        <f>C71-E71-F71-G71-H71</f>
        <v>0</v>
      </c>
      <c r="J71" s="433">
        <f>SUM(E71:I71)</f>
        <v>0</v>
      </c>
    </row>
    <row r="72" spans="1:10">
      <c r="A72" s="512"/>
      <c r="B72" s="532" t="s">
        <v>403</v>
      </c>
      <c r="C72" s="533">
        <f>SUMIFS('Trial 2025'!G:G,'Trial 2025'!B:B,Sheet4!B72)</f>
        <v>97451</v>
      </c>
      <c r="D72" s="533">
        <f>SUMIFS('Trial 2025'!I:I,'Trial 2025'!B:B,Sheet4!B72)</f>
        <v>97451</v>
      </c>
      <c r="E72" s="433"/>
      <c r="F72" s="433"/>
      <c r="G72" s="542"/>
      <c r="H72" s="433"/>
      <c r="I72" s="433">
        <f t="shared" ref="I72:I118" si="9">C72-E72-F72-G72-H72</f>
        <v>97451</v>
      </c>
      <c r="J72" s="433">
        <f t="shared" ref="J72:J118" si="10">SUM(E72:I72)</f>
        <v>97451</v>
      </c>
    </row>
    <row r="73" spans="1:10">
      <c r="A73" s="512"/>
      <c r="B73" s="532" t="s">
        <v>404</v>
      </c>
      <c r="C73" s="533">
        <f>SUMIFS('Trial 2025'!G:G,'Trial 2025'!B:B,Sheet4!B73)</f>
        <v>187377</v>
      </c>
      <c r="D73" s="533">
        <f>SUMIFS('Trial 2025'!I:I,'Trial 2025'!B:B,Sheet4!B73)</f>
        <v>136831</v>
      </c>
      <c r="E73" s="433">
        <f t="shared" si="8"/>
        <v>187377</v>
      </c>
      <c r="F73" s="433"/>
      <c r="G73" s="542"/>
      <c r="H73" s="433"/>
      <c r="I73" s="433">
        <f t="shared" si="9"/>
        <v>0</v>
      </c>
      <c r="J73" s="433">
        <f t="shared" si="10"/>
        <v>187377</v>
      </c>
    </row>
    <row r="74" spans="1:10">
      <c r="A74" s="512"/>
      <c r="B74" s="532" t="s">
        <v>405</v>
      </c>
      <c r="C74" s="533">
        <f>SUMIFS('Trial 2025'!G:G,'Trial 2025'!B:B,Sheet4!B74)</f>
        <v>83276</v>
      </c>
      <c r="D74" s="533">
        <f>SUMIFS('Trial 2025'!I:I,'Trial 2025'!B:B,Sheet4!B74)</f>
        <v>83276</v>
      </c>
      <c r="E74" s="433"/>
      <c r="F74" s="433"/>
      <c r="G74" s="542"/>
      <c r="H74" s="433"/>
      <c r="I74" s="433">
        <f t="shared" si="9"/>
        <v>83276</v>
      </c>
      <c r="J74" s="433">
        <f t="shared" si="10"/>
        <v>83276</v>
      </c>
    </row>
    <row r="75" spans="1:10">
      <c r="A75" s="512"/>
      <c r="B75" s="532" t="s">
        <v>406</v>
      </c>
      <c r="C75" s="533">
        <f>SUMIFS('Trial 2025'!G:G,'Trial 2025'!B:B,Sheet4!B75)</f>
        <v>254881</v>
      </c>
      <c r="D75" s="533">
        <f>SUMIFS('Trial 2025'!I:I,'Trial 2025'!B:B,Sheet4!B75)</f>
        <v>81565</v>
      </c>
      <c r="E75" s="433">
        <f t="shared" si="8"/>
        <v>254881</v>
      </c>
      <c r="F75" s="433"/>
      <c r="G75" s="542"/>
      <c r="H75" s="433"/>
      <c r="I75" s="433">
        <f t="shared" si="9"/>
        <v>0</v>
      </c>
      <c r="J75" s="433">
        <f t="shared" si="10"/>
        <v>254881</v>
      </c>
    </row>
    <row r="76" spans="1:10">
      <c r="A76" s="512"/>
      <c r="B76" s="532" t="s">
        <v>407</v>
      </c>
      <c r="C76" s="533">
        <f>SUMIFS('Trial 2025'!G:G,'Trial 2025'!B:B,Sheet4!B76)</f>
        <v>156984</v>
      </c>
      <c r="D76" s="533">
        <f>SUMIFS('Trial 2025'!I:I,'Trial 2025'!B:B,Sheet4!B76)</f>
        <v>164323</v>
      </c>
      <c r="E76" s="433">
        <f t="shared" si="8"/>
        <v>156984</v>
      </c>
      <c r="F76" s="433"/>
      <c r="G76" s="542"/>
      <c r="H76" s="433"/>
      <c r="I76" s="433">
        <f t="shared" si="9"/>
        <v>0</v>
      </c>
      <c r="J76" s="433">
        <f t="shared" si="10"/>
        <v>156984</v>
      </c>
    </row>
    <row r="77" spans="1:10">
      <c r="A77" s="512"/>
      <c r="B77" s="532" t="s">
        <v>408</v>
      </c>
      <c r="C77" s="533">
        <f>SUMIFS('Trial 2025'!G:G,'Trial 2025'!B:B,Sheet4!B77)</f>
        <v>22315462.57</v>
      </c>
      <c r="D77" s="533">
        <f>SUMIFS('Trial 2025'!I:I,'Trial 2025'!B:B,Sheet4!B77)</f>
        <v>22440930.199999999</v>
      </c>
      <c r="E77" s="433">
        <f t="shared" si="8"/>
        <v>22315462.57</v>
      </c>
      <c r="F77" s="433"/>
      <c r="G77" s="542"/>
      <c r="H77" s="433"/>
      <c r="I77" s="433">
        <f t="shared" si="9"/>
        <v>0</v>
      </c>
      <c r="J77" s="433">
        <f t="shared" si="10"/>
        <v>22315462.57</v>
      </c>
    </row>
    <row r="78" spans="1:10">
      <c r="A78" s="512"/>
      <c r="B78" s="532" t="s">
        <v>409</v>
      </c>
      <c r="C78" s="533">
        <f>SUMIFS('Trial 2025'!G:G,'Trial 2025'!B:B,Sheet4!B78)</f>
        <v>88898</v>
      </c>
      <c r="D78" s="533">
        <f>SUMIFS('Trial 2025'!I:I,'Trial 2025'!B:B,Sheet4!B78)</f>
        <v>144611</v>
      </c>
      <c r="E78" s="433">
        <f t="shared" si="8"/>
        <v>88898</v>
      </c>
      <c r="F78" s="433"/>
      <c r="G78" s="542"/>
      <c r="H78" s="433"/>
      <c r="I78" s="433">
        <f t="shared" si="9"/>
        <v>0</v>
      </c>
      <c r="J78" s="433">
        <f t="shared" si="10"/>
        <v>88898</v>
      </c>
    </row>
    <row r="79" spans="1:10">
      <c r="A79" s="512"/>
      <c r="B79" s="532" t="s">
        <v>410</v>
      </c>
      <c r="C79" s="533">
        <f>SUMIFS('Trial 2025'!G:G,'Trial 2025'!B:B,Sheet4!B79)</f>
        <v>325080</v>
      </c>
      <c r="D79" s="533">
        <f>SUMIFS('Trial 2025'!I:I,'Trial 2025'!B:B,Sheet4!B79)</f>
        <v>490634</v>
      </c>
      <c r="E79" s="433">
        <f t="shared" si="8"/>
        <v>325080</v>
      </c>
      <c r="F79" s="433"/>
      <c r="G79" s="542"/>
      <c r="H79" s="433"/>
      <c r="I79" s="433">
        <f t="shared" si="9"/>
        <v>0</v>
      </c>
      <c r="J79" s="433">
        <f t="shared" si="10"/>
        <v>325080</v>
      </c>
    </row>
    <row r="80" spans="1:10">
      <c r="A80" s="512"/>
      <c r="B80" s="532" t="s">
        <v>411</v>
      </c>
      <c r="C80" s="533">
        <f>SUMIFS('Trial 2025'!G:G,'Trial 2025'!B:B,Sheet4!B80)</f>
        <v>4024</v>
      </c>
      <c r="D80" s="533">
        <f>SUMIFS('Trial 2025'!I:I,'Trial 2025'!B:B,Sheet4!B80)</f>
        <v>7524</v>
      </c>
      <c r="E80" s="433">
        <f t="shared" si="8"/>
        <v>4024</v>
      </c>
      <c r="F80" s="433"/>
      <c r="G80" s="542"/>
      <c r="H80" s="433"/>
      <c r="I80" s="433">
        <f t="shared" si="9"/>
        <v>0</v>
      </c>
      <c r="J80" s="433">
        <f t="shared" si="10"/>
        <v>4024</v>
      </c>
    </row>
    <row r="81" spans="1:10">
      <c r="A81" s="512"/>
      <c r="B81" s="532" t="s">
        <v>412</v>
      </c>
      <c r="C81" s="533">
        <f>SUMIFS('Trial 2025'!G:G,'Trial 2025'!B:B,Sheet4!B81)</f>
        <v>0</v>
      </c>
      <c r="D81" s="533">
        <f>SUMIFS('Trial 2025'!I:I,'Trial 2025'!B:B,Sheet4!B81)</f>
        <v>307631</v>
      </c>
      <c r="E81" s="433">
        <f t="shared" si="8"/>
        <v>0</v>
      </c>
      <c r="F81" s="433"/>
      <c r="G81" s="542"/>
      <c r="H81" s="433"/>
      <c r="I81" s="433">
        <f t="shared" si="9"/>
        <v>0</v>
      </c>
      <c r="J81" s="433">
        <f t="shared" si="10"/>
        <v>0</v>
      </c>
    </row>
    <row r="82" spans="1:10">
      <c r="A82" s="512"/>
      <c r="B82" s="532" t="s">
        <v>413</v>
      </c>
      <c r="C82" s="533">
        <f>SUMIFS('Trial 2025'!G:G,'Trial 2025'!B:B,Sheet4!B82)</f>
        <v>0</v>
      </c>
      <c r="D82" s="533">
        <f>SUMIFS('Trial 2025'!I:I,'Trial 2025'!B:B,Sheet4!B82)</f>
        <v>362300</v>
      </c>
      <c r="E82" s="433">
        <f t="shared" si="8"/>
        <v>0</v>
      </c>
      <c r="F82" s="433"/>
      <c r="G82" s="542"/>
      <c r="H82" s="433"/>
      <c r="I82" s="433">
        <f t="shared" si="9"/>
        <v>0</v>
      </c>
      <c r="J82" s="433">
        <f t="shared" si="10"/>
        <v>0</v>
      </c>
    </row>
    <row r="83" spans="1:10">
      <c r="A83" s="512"/>
      <c r="B83" s="532" t="s">
        <v>414</v>
      </c>
      <c r="C83" s="533">
        <f>SUMIFS('Trial 2025'!G:G,'Trial 2025'!B:B,Sheet4!B83)</f>
        <v>20765320</v>
      </c>
      <c r="D83" s="533">
        <f>SUMIFS('Trial 2025'!I:I,'Trial 2025'!B:B,Sheet4!B83)</f>
        <v>33267026.5</v>
      </c>
      <c r="E83" s="433">
        <f t="shared" si="8"/>
        <v>20765320</v>
      </c>
      <c r="F83" s="433"/>
      <c r="G83" s="542"/>
      <c r="H83" s="433"/>
      <c r="I83" s="433">
        <f t="shared" si="9"/>
        <v>0</v>
      </c>
      <c r="J83" s="433">
        <f t="shared" si="10"/>
        <v>20765320</v>
      </c>
    </row>
    <row r="84" spans="1:10">
      <c r="A84" s="512"/>
      <c r="B84" s="532" t="s">
        <v>415</v>
      </c>
      <c r="C84" s="533">
        <f>SUMIFS('Trial 2025'!G:G,'Trial 2025'!B:B,Sheet4!B84)</f>
        <v>283484</v>
      </c>
      <c r="D84" s="533">
        <f>SUMIFS('Trial 2025'!I:I,'Trial 2025'!B:B,Sheet4!B84)</f>
        <v>130385</v>
      </c>
      <c r="E84" s="433">
        <f t="shared" si="8"/>
        <v>283484</v>
      </c>
      <c r="F84" s="433"/>
      <c r="G84" s="542"/>
      <c r="H84" s="433"/>
      <c r="I84" s="433">
        <f t="shared" si="9"/>
        <v>0</v>
      </c>
      <c r="J84" s="433">
        <f t="shared" si="10"/>
        <v>283484</v>
      </c>
    </row>
    <row r="85" spans="1:10">
      <c r="A85" s="512"/>
      <c r="B85" s="532" t="s">
        <v>416</v>
      </c>
      <c r="C85" s="533">
        <f>SUMIFS('Trial 2025'!G:G,'Trial 2025'!B:B,Sheet4!B85)</f>
        <v>130112</v>
      </c>
      <c r="D85" s="533">
        <f>SUMIFS('Trial 2025'!I:I,'Trial 2025'!B:B,Sheet4!B85)</f>
        <v>222468</v>
      </c>
      <c r="E85" s="433">
        <f t="shared" si="8"/>
        <v>130112</v>
      </c>
      <c r="F85" s="433"/>
      <c r="G85" s="542"/>
      <c r="H85" s="433"/>
      <c r="I85" s="433">
        <f t="shared" si="9"/>
        <v>0</v>
      </c>
      <c r="J85" s="433">
        <f t="shared" si="10"/>
        <v>130112</v>
      </c>
    </row>
    <row r="86" spans="1:10">
      <c r="A86" s="512"/>
      <c r="B86" s="532" t="s">
        <v>417</v>
      </c>
      <c r="C86" s="533">
        <f>SUMIFS('Trial 2025'!G:G,'Trial 2025'!B:B,Sheet4!B86)</f>
        <v>84980</v>
      </c>
      <c r="D86" s="533">
        <f>SUMIFS('Trial 2025'!I:I,'Trial 2025'!B:B,Sheet4!B86)</f>
        <v>114980</v>
      </c>
      <c r="E86" s="433"/>
      <c r="F86" s="433"/>
      <c r="G86" s="433">
        <f>C86</f>
        <v>84980</v>
      </c>
      <c r="H86" s="433"/>
      <c r="I86" s="433">
        <f t="shared" si="9"/>
        <v>0</v>
      </c>
      <c r="J86" s="433">
        <f t="shared" si="10"/>
        <v>84980</v>
      </c>
    </row>
    <row r="87" spans="1:10">
      <c r="A87" s="512"/>
      <c r="B87" s="532" t="s">
        <v>418</v>
      </c>
      <c r="C87" s="533">
        <f>SUMIFS('Trial 2025'!G:G,'Trial 2025'!B:B,Sheet4!B87)</f>
        <v>0</v>
      </c>
      <c r="D87" s="533">
        <f>SUMIFS('Trial 2025'!I:I,'Trial 2025'!B:B,Sheet4!B87)</f>
        <v>249010</v>
      </c>
      <c r="E87" s="433">
        <f t="shared" si="8"/>
        <v>0</v>
      </c>
      <c r="F87" s="433"/>
      <c r="G87" s="542"/>
      <c r="H87" s="433"/>
      <c r="I87" s="433">
        <f t="shared" si="9"/>
        <v>0</v>
      </c>
      <c r="J87" s="433">
        <f t="shared" si="10"/>
        <v>0</v>
      </c>
    </row>
    <row r="88" spans="1:10">
      <c r="A88" s="512"/>
      <c r="B88" s="532" t="s">
        <v>419</v>
      </c>
      <c r="C88" s="533">
        <f>SUMIFS('Trial 2025'!G:G,'Trial 2025'!B:B,Sheet4!B88)</f>
        <v>0</v>
      </c>
      <c r="D88" s="533">
        <f>SUMIFS('Trial 2025'!I:I,'Trial 2025'!B:B,Sheet4!B88)</f>
        <v>160847</v>
      </c>
      <c r="E88" s="433">
        <f t="shared" si="8"/>
        <v>0</v>
      </c>
      <c r="F88" s="433"/>
      <c r="G88" s="542"/>
      <c r="H88" s="433"/>
      <c r="I88" s="433">
        <f t="shared" si="9"/>
        <v>0</v>
      </c>
      <c r="J88" s="433">
        <f t="shared" si="10"/>
        <v>0</v>
      </c>
    </row>
    <row r="89" spans="1:10">
      <c r="A89" s="512"/>
      <c r="B89" s="532" t="s">
        <v>420</v>
      </c>
      <c r="C89" s="533">
        <f>SUMIFS('Trial 2025'!G:G,'Trial 2025'!B:B,Sheet4!B89)</f>
        <v>0</v>
      </c>
      <c r="D89" s="533">
        <f>SUMIFS('Trial 2025'!I:I,'Trial 2025'!B:B,Sheet4!B89)</f>
        <v>284923</v>
      </c>
      <c r="E89" s="433">
        <f t="shared" si="8"/>
        <v>0</v>
      </c>
      <c r="F89" s="433"/>
      <c r="G89" s="542"/>
      <c r="H89" s="433"/>
      <c r="I89" s="433">
        <f t="shared" si="9"/>
        <v>0</v>
      </c>
      <c r="J89" s="433">
        <f t="shared" si="10"/>
        <v>0</v>
      </c>
    </row>
    <row r="90" spans="1:10">
      <c r="A90" s="512"/>
      <c r="B90" s="532" t="s">
        <v>421</v>
      </c>
      <c r="C90" s="533">
        <f>SUMIFS('Trial 2025'!G:G,'Trial 2025'!B:B,Sheet4!B90)</f>
        <v>255646</v>
      </c>
      <c r="D90" s="533">
        <f>SUMIFS('Trial 2025'!I:I,'Trial 2025'!B:B,Sheet4!B90)</f>
        <v>255646</v>
      </c>
      <c r="E90" s="433"/>
      <c r="F90" s="433"/>
      <c r="G90" s="542"/>
      <c r="H90" s="433"/>
      <c r="I90" s="433">
        <f t="shared" si="9"/>
        <v>255646</v>
      </c>
      <c r="J90" s="433">
        <f t="shared" si="10"/>
        <v>255646</v>
      </c>
    </row>
    <row r="91" spans="1:10">
      <c r="A91" s="512"/>
      <c r="B91" s="532" t="s">
        <v>422</v>
      </c>
      <c r="C91" s="533">
        <f>SUMIFS('Trial 2025'!G:G,'Trial 2025'!B:B,Sheet4!B91)</f>
        <v>143627</v>
      </c>
      <c r="D91" s="533">
        <f>SUMIFS('Trial 2025'!I:I,'Trial 2025'!B:B,Sheet4!B91)</f>
        <v>143627</v>
      </c>
      <c r="E91" s="433"/>
      <c r="F91" s="433"/>
      <c r="G91" s="542"/>
      <c r="H91" s="433">
        <f>C91</f>
        <v>143627</v>
      </c>
      <c r="I91" s="433">
        <f t="shared" si="9"/>
        <v>0</v>
      </c>
      <c r="J91" s="433">
        <f t="shared" si="10"/>
        <v>143627</v>
      </c>
    </row>
    <row r="92" spans="1:10">
      <c r="A92" s="512"/>
      <c r="B92" s="532" t="s">
        <v>423</v>
      </c>
      <c r="C92" s="533">
        <f>SUMIFS('Trial 2025'!G:G,'Trial 2025'!B:B,Sheet4!B92)</f>
        <v>265058</v>
      </c>
      <c r="D92" s="533">
        <f>SUMIFS('Trial 2025'!I:I,'Trial 2025'!B:B,Sheet4!B92)</f>
        <v>258474</v>
      </c>
      <c r="E92" s="433">
        <f t="shared" si="8"/>
        <v>265058</v>
      </c>
      <c r="F92" s="433"/>
      <c r="G92" s="542"/>
      <c r="H92" s="433"/>
      <c r="I92" s="433">
        <f t="shared" si="9"/>
        <v>0</v>
      </c>
      <c r="J92" s="433">
        <f t="shared" si="10"/>
        <v>265058</v>
      </c>
    </row>
    <row r="93" spans="1:10">
      <c r="A93" s="512"/>
      <c r="B93" s="532" t="s">
        <v>424</v>
      </c>
      <c r="C93" s="533">
        <f>SUMIFS('Trial 2025'!G:G,'Trial 2025'!B:B,Sheet4!B93)</f>
        <v>0</v>
      </c>
      <c r="D93" s="533">
        <f>SUMIFS('Trial 2025'!I:I,'Trial 2025'!B:B,Sheet4!B93)</f>
        <v>144502</v>
      </c>
      <c r="E93" s="433">
        <f t="shared" si="8"/>
        <v>0</v>
      </c>
      <c r="F93" s="433"/>
      <c r="G93" s="542"/>
      <c r="H93" s="433"/>
      <c r="I93" s="433">
        <f t="shared" si="9"/>
        <v>0</v>
      </c>
      <c r="J93" s="433">
        <f t="shared" si="10"/>
        <v>0</v>
      </c>
    </row>
    <row r="94" spans="1:10">
      <c r="A94" s="512"/>
      <c r="B94" s="532" t="s">
        <v>425</v>
      </c>
      <c r="C94" s="533">
        <f>SUMIFS('Trial 2025'!G:G,'Trial 2025'!B:B,Sheet4!B94)</f>
        <v>125689</v>
      </c>
      <c r="D94" s="533">
        <f>SUMIFS('Trial 2025'!I:I,'Trial 2025'!B:B,Sheet4!B94)</f>
        <v>420689</v>
      </c>
      <c r="E94" s="433">
        <f t="shared" si="8"/>
        <v>125689</v>
      </c>
      <c r="F94" s="433"/>
      <c r="G94" s="542"/>
      <c r="H94" s="433"/>
      <c r="I94" s="433">
        <f t="shared" si="9"/>
        <v>0</v>
      </c>
      <c r="J94" s="433">
        <f t="shared" si="10"/>
        <v>125689</v>
      </c>
    </row>
    <row r="95" spans="1:10">
      <c r="A95" s="512"/>
      <c r="B95" s="532" t="s">
        <v>426</v>
      </c>
      <c r="C95" s="533">
        <f>SUMIFS('Trial 2025'!G:G,'Trial 2025'!B:B,Sheet4!B95)</f>
        <v>59923</v>
      </c>
      <c r="D95" s="533">
        <f>SUMIFS('Trial 2025'!I:I,'Trial 2025'!B:B,Sheet4!B95)</f>
        <v>56050</v>
      </c>
      <c r="E95" s="433">
        <f t="shared" si="8"/>
        <v>59923</v>
      </c>
      <c r="F95" s="433"/>
      <c r="G95" s="542"/>
      <c r="H95" s="433"/>
      <c r="I95" s="433">
        <f t="shared" si="9"/>
        <v>0</v>
      </c>
      <c r="J95" s="433">
        <f t="shared" si="10"/>
        <v>59923</v>
      </c>
    </row>
    <row r="96" spans="1:10">
      <c r="A96" s="512"/>
      <c r="B96" s="532" t="s">
        <v>427</v>
      </c>
      <c r="C96" s="533">
        <f>SUMIFS('Trial 2025'!G:G,'Trial 2025'!B:B,Sheet4!B96)</f>
        <v>77693</v>
      </c>
      <c r="D96" s="533">
        <f>SUMIFS('Trial 2025'!I:I,'Trial 2025'!B:B,Sheet4!B96)</f>
        <v>167805</v>
      </c>
      <c r="E96" s="433"/>
      <c r="F96" s="433"/>
      <c r="G96" s="433">
        <f>C96</f>
        <v>77693</v>
      </c>
      <c r="H96" s="433"/>
      <c r="I96" s="433">
        <f t="shared" si="9"/>
        <v>0</v>
      </c>
      <c r="J96" s="433">
        <f t="shared" si="10"/>
        <v>77693</v>
      </c>
    </row>
    <row r="97" spans="1:10">
      <c r="A97" s="512"/>
      <c r="B97" s="532" t="s">
        <v>428</v>
      </c>
      <c r="C97" s="533">
        <f>SUMIFS('Trial 2025'!G:G,'Trial 2025'!B:B,Sheet4!B97)</f>
        <v>0</v>
      </c>
      <c r="D97" s="533">
        <f>SUMIFS('Trial 2025'!I:I,'Trial 2025'!B:B,Sheet4!B97)</f>
        <v>32776</v>
      </c>
      <c r="E97" s="433">
        <f t="shared" si="8"/>
        <v>0</v>
      </c>
      <c r="F97" s="433"/>
      <c r="G97" s="542"/>
      <c r="H97" s="433"/>
      <c r="I97" s="433">
        <f t="shared" si="9"/>
        <v>0</v>
      </c>
      <c r="J97" s="433">
        <f t="shared" si="10"/>
        <v>0</v>
      </c>
    </row>
    <row r="98" spans="1:10">
      <c r="A98" s="512"/>
      <c r="B98" s="532" t="s">
        <v>429</v>
      </c>
      <c r="C98" s="533">
        <f>SUMIFS('Trial 2025'!G:G,'Trial 2025'!B:B,Sheet4!B98)</f>
        <v>352360</v>
      </c>
      <c r="D98" s="533">
        <f>SUMIFS('Trial 2025'!I:I,'Trial 2025'!B:B,Sheet4!B98)</f>
        <v>296970</v>
      </c>
      <c r="E98" s="433">
        <f t="shared" si="8"/>
        <v>352360</v>
      </c>
      <c r="F98" s="433"/>
      <c r="G98" s="542"/>
      <c r="H98" s="433"/>
      <c r="I98" s="433">
        <f t="shared" si="9"/>
        <v>0</v>
      </c>
      <c r="J98" s="433">
        <f t="shared" si="10"/>
        <v>352360</v>
      </c>
    </row>
    <row r="99" spans="1:10">
      <c r="A99" s="512"/>
      <c r="B99" s="532" t="s">
        <v>430</v>
      </c>
      <c r="C99" s="533">
        <f>SUMIFS('Trial 2025'!G:G,'Trial 2025'!B:B,Sheet4!B99)</f>
        <v>346155</v>
      </c>
      <c r="D99" s="533">
        <f>SUMIFS('Trial 2025'!I:I,'Trial 2025'!B:B,Sheet4!B99)</f>
        <v>346155</v>
      </c>
      <c r="E99" s="433"/>
      <c r="F99" s="433"/>
      <c r="G99" s="542"/>
      <c r="H99" s="433"/>
      <c r="I99" s="433">
        <f t="shared" si="9"/>
        <v>346155</v>
      </c>
      <c r="J99" s="433">
        <f t="shared" si="10"/>
        <v>346155</v>
      </c>
    </row>
    <row r="100" spans="1:10">
      <c r="A100" s="512"/>
      <c r="B100" s="532" t="s">
        <v>431</v>
      </c>
      <c r="C100" s="533">
        <f>SUMIFS('Trial 2025'!G:G,'Trial 2025'!B:B,Sheet4!B100)</f>
        <v>85176</v>
      </c>
      <c r="D100" s="533">
        <f>SUMIFS('Trial 2025'!I:I,'Trial 2025'!B:B,Sheet4!B100)</f>
        <v>85176</v>
      </c>
      <c r="E100" s="433"/>
      <c r="F100" s="433"/>
      <c r="G100" s="542"/>
      <c r="H100" s="433"/>
      <c r="I100" s="433">
        <f t="shared" si="9"/>
        <v>85176</v>
      </c>
      <c r="J100" s="433">
        <f t="shared" si="10"/>
        <v>85176</v>
      </c>
    </row>
    <row r="101" spans="1:10">
      <c r="A101" s="512"/>
      <c r="B101" s="532" t="s">
        <v>432</v>
      </c>
      <c r="C101" s="533">
        <f>SUMIFS('Trial 2025'!G:G,'Trial 2025'!B:B,Sheet4!B101)</f>
        <v>0</v>
      </c>
      <c r="D101" s="533">
        <f>SUMIFS('Trial 2025'!I:I,'Trial 2025'!B:B,Sheet4!B101)</f>
        <v>173614</v>
      </c>
      <c r="E101" s="433">
        <f t="shared" si="8"/>
        <v>0</v>
      </c>
      <c r="F101" s="433"/>
      <c r="G101" s="542"/>
      <c r="H101" s="433"/>
      <c r="I101" s="433">
        <f t="shared" si="9"/>
        <v>0</v>
      </c>
      <c r="J101" s="433">
        <f t="shared" si="10"/>
        <v>0</v>
      </c>
    </row>
    <row r="102" spans="1:10">
      <c r="A102" s="512"/>
      <c r="B102" s="532" t="s">
        <v>433</v>
      </c>
      <c r="C102" s="533">
        <f>SUMIFS('Trial 2025'!G:G,'Trial 2025'!B:B,Sheet4!B102)</f>
        <v>0</v>
      </c>
      <c r="D102" s="533">
        <f>SUMIFS('Trial 2025'!I:I,'Trial 2025'!B:B,Sheet4!B102)</f>
        <v>83258</v>
      </c>
      <c r="E102" s="433">
        <f t="shared" si="8"/>
        <v>0</v>
      </c>
      <c r="F102" s="433"/>
      <c r="G102" s="542"/>
      <c r="H102" s="433"/>
      <c r="I102" s="433">
        <f t="shared" si="9"/>
        <v>0</v>
      </c>
      <c r="J102" s="433">
        <f t="shared" si="10"/>
        <v>0</v>
      </c>
    </row>
    <row r="103" spans="1:10">
      <c r="A103" s="512"/>
      <c r="B103" s="532" t="s">
        <v>434</v>
      </c>
      <c r="C103" s="533">
        <f>SUMIFS('Trial 2025'!G:G,'Trial 2025'!B:B,Sheet4!B103)</f>
        <v>6069598.9699999997</v>
      </c>
      <c r="D103" s="533">
        <f>SUMIFS('Trial 2025'!I:I,'Trial 2025'!B:B,Sheet4!B103)</f>
        <v>7640315.7300000004</v>
      </c>
      <c r="E103" s="433">
        <f t="shared" si="8"/>
        <v>6069598.9699999997</v>
      </c>
      <c r="F103" s="433"/>
      <c r="G103" s="542"/>
      <c r="H103" s="433"/>
      <c r="I103" s="433">
        <f t="shared" si="9"/>
        <v>0</v>
      </c>
      <c r="J103" s="433">
        <f t="shared" si="10"/>
        <v>6069598.9699999997</v>
      </c>
    </row>
    <row r="104" spans="1:10">
      <c r="A104" s="512"/>
      <c r="B104" s="532" t="s">
        <v>435</v>
      </c>
      <c r="C104" s="533">
        <f>SUMIFS('Trial 2025'!G:G,'Trial 2025'!B:B,Sheet4!B104)</f>
        <v>391769.5</v>
      </c>
      <c r="D104" s="533">
        <f>SUMIFS('Trial 2025'!I:I,'Trial 2025'!B:B,Sheet4!B104)</f>
        <v>791769.5</v>
      </c>
      <c r="E104" s="433"/>
      <c r="F104" s="433"/>
      <c r="G104" s="542"/>
      <c r="H104" s="433">
        <f>C104</f>
        <v>391769.5</v>
      </c>
      <c r="I104" s="433">
        <f t="shared" si="9"/>
        <v>0</v>
      </c>
      <c r="J104" s="433">
        <f t="shared" si="10"/>
        <v>391769.5</v>
      </c>
    </row>
    <row r="105" spans="1:10">
      <c r="A105" s="512"/>
      <c r="B105" s="532" t="s">
        <v>436</v>
      </c>
      <c r="C105" s="533">
        <f>SUMIFS('Trial 2025'!G:G,'Trial 2025'!B:B,Sheet4!B105)</f>
        <v>57160</v>
      </c>
      <c r="D105" s="533">
        <f>SUMIFS('Trial 2025'!I:I,'Trial 2025'!B:B,Sheet4!B105)</f>
        <v>152151</v>
      </c>
      <c r="E105" s="433">
        <f t="shared" si="8"/>
        <v>57160</v>
      </c>
      <c r="F105" s="433"/>
      <c r="G105" s="542"/>
      <c r="H105" s="433"/>
      <c r="I105" s="433">
        <f t="shared" si="9"/>
        <v>0</v>
      </c>
      <c r="J105" s="433">
        <f t="shared" si="10"/>
        <v>57160</v>
      </c>
    </row>
    <row r="106" spans="1:10">
      <c r="A106" s="512"/>
      <c r="B106" s="532" t="s">
        <v>437</v>
      </c>
      <c r="C106" s="533">
        <f>SUMIFS('Trial 2025'!G:G,'Trial 2025'!B:B,Sheet4!B106)</f>
        <v>0</v>
      </c>
      <c r="D106" s="533">
        <f>SUMIFS('Trial 2025'!I:I,'Trial 2025'!B:B,Sheet4!B106)</f>
        <v>55626</v>
      </c>
      <c r="E106" s="433">
        <f t="shared" si="8"/>
        <v>0</v>
      </c>
      <c r="F106" s="433"/>
      <c r="G106" s="542"/>
      <c r="H106" s="433"/>
      <c r="I106" s="433">
        <f t="shared" si="9"/>
        <v>0</v>
      </c>
      <c r="J106" s="433">
        <f t="shared" si="10"/>
        <v>0</v>
      </c>
    </row>
    <row r="107" spans="1:10">
      <c r="A107" s="512"/>
      <c r="B107" s="532" t="s">
        <v>438</v>
      </c>
      <c r="C107" s="533">
        <f>SUMIFS('Trial 2025'!G:G,'Trial 2025'!B:B,Sheet4!B107)</f>
        <v>0</v>
      </c>
      <c r="D107" s="533">
        <f>SUMIFS('Trial 2025'!I:I,'Trial 2025'!B:B,Sheet4!B107)</f>
        <v>750066</v>
      </c>
      <c r="E107" s="433">
        <f t="shared" si="8"/>
        <v>0</v>
      </c>
      <c r="F107" s="433"/>
      <c r="G107" s="542"/>
      <c r="H107" s="433"/>
      <c r="I107" s="433">
        <f t="shared" si="9"/>
        <v>0</v>
      </c>
      <c r="J107" s="433">
        <f t="shared" si="10"/>
        <v>0</v>
      </c>
    </row>
    <row r="108" spans="1:10">
      <c r="A108" s="512"/>
      <c r="B108" s="532" t="s">
        <v>439</v>
      </c>
      <c r="C108" s="533">
        <f>SUMIFS('Trial 2025'!G:G,'Trial 2025'!B:B,Sheet4!B108)</f>
        <v>0</v>
      </c>
      <c r="D108" s="533"/>
      <c r="E108" s="433">
        <f t="shared" si="8"/>
        <v>0</v>
      </c>
      <c r="F108" s="433"/>
      <c r="G108" s="542"/>
      <c r="H108" s="433"/>
      <c r="I108" s="433">
        <f t="shared" si="9"/>
        <v>0</v>
      </c>
      <c r="J108" s="433">
        <f t="shared" si="10"/>
        <v>0</v>
      </c>
    </row>
    <row r="109" spans="1:10">
      <c r="A109" s="512"/>
      <c r="B109" s="532" t="s">
        <v>440</v>
      </c>
      <c r="C109" s="533">
        <f>SUMIFS('Trial 2025'!G:G,'Trial 2025'!B:B,Sheet4!B109)</f>
        <v>194185.94</v>
      </c>
      <c r="D109" s="533"/>
      <c r="E109" s="433">
        <f t="shared" si="8"/>
        <v>194185.94</v>
      </c>
      <c r="F109" s="433"/>
      <c r="G109" s="542"/>
      <c r="H109" s="433"/>
      <c r="I109" s="433">
        <f t="shared" si="9"/>
        <v>0</v>
      </c>
      <c r="J109" s="433">
        <f t="shared" si="10"/>
        <v>194185.94</v>
      </c>
    </row>
    <row r="110" spans="1:10">
      <c r="A110" s="512"/>
      <c r="B110" s="532" t="s">
        <v>441</v>
      </c>
      <c r="C110" s="533">
        <f>SUMIFS('Trial 2025'!G:G,'Trial 2025'!B:B,Sheet4!B110)</f>
        <v>425521</v>
      </c>
      <c r="D110" s="533"/>
      <c r="E110" s="433">
        <f t="shared" si="8"/>
        <v>425521</v>
      </c>
      <c r="F110" s="433"/>
      <c r="G110" s="542"/>
      <c r="H110" s="433"/>
      <c r="I110" s="433">
        <f t="shared" si="9"/>
        <v>0</v>
      </c>
      <c r="J110" s="433">
        <f t="shared" si="10"/>
        <v>425521</v>
      </c>
    </row>
    <row r="111" spans="1:10">
      <c r="A111" s="512"/>
      <c r="B111" s="532" t="s">
        <v>442</v>
      </c>
      <c r="C111" s="533">
        <f>SUMIFS('Trial 2025'!G:G,'Trial 2025'!B:B,Sheet4!B111)</f>
        <v>144050</v>
      </c>
      <c r="D111" s="533"/>
      <c r="E111" s="433">
        <f t="shared" si="8"/>
        <v>144050</v>
      </c>
      <c r="F111" s="433"/>
      <c r="G111" s="542"/>
      <c r="H111" s="433"/>
      <c r="I111" s="433">
        <f t="shared" si="9"/>
        <v>0</v>
      </c>
      <c r="J111" s="433">
        <f t="shared" si="10"/>
        <v>144050</v>
      </c>
    </row>
    <row r="112" spans="1:10">
      <c r="A112" s="512"/>
      <c r="B112" s="532" t="s">
        <v>443</v>
      </c>
      <c r="C112" s="533">
        <f>SUMIFS('Trial 2025'!G:G,'Trial 2025'!B:B,Sheet4!B112)</f>
        <v>55905</v>
      </c>
      <c r="D112" s="533"/>
      <c r="E112" s="433">
        <f t="shared" si="8"/>
        <v>55905</v>
      </c>
      <c r="F112" s="433"/>
      <c r="G112" s="542"/>
      <c r="H112" s="433"/>
      <c r="I112" s="433">
        <f t="shared" si="9"/>
        <v>0</v>
      </c>
      <c r="J112" s="433">
        <f t="shared" si="10"/>
        <v>55905</v>
      </c>
    </row>
    <row r="113" spans="1:10">
      <c r="A113" s="512"/>
      <c r="B113" s="532" t="s">
        <v>444</v>
      </c>
      <c r="C113" s="533">
        <f>SUMIFS('Trial 2025'!G:G,'Trial 2025'!B:B,Sheet4!B113)</f>
        <v>98150</v>
      </c>
      <c r="D113" s="533"/>
      <c r="E113" s="433">
        <f t="shared" si="8"/>
        <v>98150</v>
      </c>
      <c r="F113" s="433"/>
      <c r="G113" s="542"/>
      <c r="H113" s="433"/>
      <c r="I113" s="433">
        <f t="shared" si="9"/>
        <v>0</v>
      </c>
      <c r="J113" s="433">
        <f t="shared" si="10"/>
        <v>98150</v>
      </c>
    </row>
    <row r="114" spans="1:10">
      <c r="A114" s="512"/>
      <c r="B114" s="532" t="s">
        <v>445</v>
      </c>
      <c r="C114" s="533">
        <f>SUMIFS('Trial 2025'!G:G,'Trial 2025'!B:B,Sheet4!B114)</f>
        <v>310068</v>
      </c>
      <c r="D114" s="533"/>
      <c r="E114" s="433">
        <f t="shared" si="8"/>
        <v>310068</v>
      </c>
      <c r="F114" s="433"/>
      <c r="G114" s="542"/>
      <c r="H114" s="433"/>
      <c r="I114" s="433">
        <f t="shared" si="9"/>
        <v>0</v>
      </c>
      <c r="J114" s="433">
        <f t="shared" si="10"/>
        <v>310068</v>
      </c>
    </row>
    <row r="115" spans="1:10">
      <c r="A115" s="512"/>
      <c r="B115" s="532" t="s">
        <v>446</v>
      </c>
      <c r="C115" s="533">
        <f>SUMIFS('Trial 2025'!G:G,'Trial 2025'!B:B,Sheet4!B115)</f>
        <v>57185</v>
      </c>
      <c r="D115" s="533"/>
      <c r="E115" s="433">
        <f t="shared" si="8"/>
        <v>57185</v>
      </c>
      <c r="F115" s="433"/>
      <c r="G115" s="542"/>
      <c r="H115" s="433"/>
      <c r="I115" s="433">
        <f t="shared" si="9"/>
        <v>0</v>
      </c>
      <c r="J115" s="433">
        <f t="shared" si="10"/>
        <v>57185</v>
      </c>
    </row>
    <row r="116" spans="1:10">
      <c r="A116" s="512"/>
      <c r="B116" s="532" t="s">
        <v>447</v>
      </c>
      <c r="C116" s="533">
        <f>SUMIFS('Trial 2025'!G:G,'Trial 2025'!B:B,Sheet4!B116)</f>
        <v>0</v>
      </c>
      <c r="D116" s="533"/>
      <c r="E116" s="433">
        <f t="shared" si="8"/>
        <v>0</v>
      </c>
      <c r="F116" s="433"/>
      <c r="G116" s="542"/>
      <c r="H116" s="433"/>
      <c r="I116" s="433">
        <f t="shared" si="9"/>
        <v>0</v>
      </c>
      <c r="J116" s="433">
        <f t="shared" si="10"/>
        <v>0</v>
      </c>
    </row>
    <row r="117" spans="1:10">
      <c r="A117" s="512"/>
      <c r="B117" s="532" t="s">
        <v>448</v>
      </c>
      <c r="C117" s="533">
        <f>SUMIFS('Trial 2025'!G:G,'Trial 2025'!B:B,Sheet4!B117)</f>
        <v>137882.51999999999</v>
      </c>
      <c r="D117" s="533"/>
      <c r="E117" s="433">
        <f>C117</f>
        <v>137882.51999999999</v>
      </c>
      <c r="F117" s="433"/>
      <c r="G117" s="542"/>
      <c r="H117" s="433"/>
      <c r="I117" s="433">
        <f t="shared" si="9"/>
        <v>0</v>
      </c>
      <c r="J117" s="433">
        <f t="shared" si="10"/>
        <v>137882.51999999999</v>
      </c>
    </row>
    <row r="118" spans="1:10">
      <c r="A118" s="512"/>
      <c r="B118" s="532" t="s">
        <v>449</v>
      </c>
      <c r="C118" s="533">
        <f>SUMIFS('Trial 2025'!G:G,'Trial 2025'!B:B,Sheet4!B118)</f>
        <v>94107</v>
      </c>
      <c r="D118" s="533"/>
      <c r="E118" s="433"/>
      <c r="F118" s="433"/>
      <c r="G118" s="542"/>
      <c r="H118" s="433"/>
      <c r="I118" s="433">
        <f t="shared" si="9"/>
        <v>94107</v>
      </c>
      <c r="J118" s="433">
        <f t="shared" si="10"/>
        <v>94107</v>
      </c>
    </row>
    <row r="119" spans="1:10">
      <c r="A119" s="512"/>
      <c r="B119" s="532"/>
      <c r="C119" s="533"/>
      <c r="D119" s="533"/>
      <c r="E119" s="433"/>
      <c r="F119" s="433"/>
      <c r="G119" s="542"/>
      <c r="H119" s="433"/>
      <c r="I119" s="433"/>
      <c r="J119" s="433"/>
    </row>
    <row r="120" spans="1:10">
      <c r="A120" s="512"/>
      <c r="B120" s="512"/>
      <c r="C120" s="537">
        <f>SUM(C71:C118)</f>
        <v>54524239.5</v>
      </c>
      <c r="D120" s="537">
        <f>SUM(D71:D118)</f>
        <v>70762061.930000007</v>
      </c>
      <c r="E120" s="542">
        <f>SUM(E71:E118)</f>
        <v>52864359</v>
      </c>
      <c r="F120" s="542">
        <f t="shared" ref="F120:J120" si="11">SUM(F71:F118)</f>
        <v>0</v>
      </c>
      <c r="G120" s="542">
        <f t="shared" si="11"/>
        <v>162673</v>
      </c>
      <c r="H120" s="542">
        <f t="shared" si="11"/>
        <v>535396.5</v>
      </c>
      <c r="I120" s="542">
        <f t="shared" si="11"/>
        <v>961811</v>
      </c>
      <c r="J120" s="542">
        <f t="shared" si="11"/>
        <v>54524239.5</v>
      </c>
    </row>
    <row r="122" spans="1:10">
      <c r="A122" s="512"/>
      <c r="B122" s="524" t="s">
        <v>264</v>
      </c>
      <c r="C122" s="531" t="str">
        <f>C49</f>
        <v>31.03.2025</v>
      </c>
      <c r="D122" s="531" t="str">
        <f>D49</f>
        <v>31.03.2024</v>
      </c>
    </row>
    <row r="123" spans="1:10">
      <c r="A123" s="512"/>
      <c r="B123" s="532" t="s">
        <v>450</v>
      </c>
      <c r="C123" s="533">
        <f>SUMIFS('Trial 2025'!G:G,'Trial 2025'!B:B,Sheet4!B123)</f>
        <v>0</v>
      </c>
      <c r="D123" s="533">
        <f>SUMIFS('Trial 2025'!I:I,'Trial 2025'!B:B,Sheet4!B123)</f>
        <v>1290</v>
      </c>
    </row>
    <row r="124" spans="1:10">
      <c r="A124" s="512"/>
      <c r="B124" s="532" t="s">
        <v>451</v>
      </c>
      <c r="C124" s="533">
        <f>SUMIFS('Trial 2025'!G:G,'Trial 2025'!B:B,Sheet4!B124)</f>
        <v>0</v>
      </c>
      <c r="D124" s="533">
        <f>SUMIFS('Trial 2025'!I:I,'Trial 2025'!B:B,Sheet4!B124)</f>
        <v>24938.27</v>
      </c>
    </row>
    <row r="125" spans="1:10">
      <c r="A125" s="512"/>
      <c r="B125" s="532" t="s">
        <v>452</v>
      </c>
      <c r="C125" s="533">
        <f>SUMIFS('Trial 2025'!G:G,'Trial 2025'!B:B,Sheet4!B125)</f>
        <v>22</v>
      </c>
      <c r="D125" s="533"/>
    </row>
    <row r="126" spans="1:10">
      <c r="A126" s="512"/>
      <c r="B126" s="532" t="s">
        <v>387</v>
      </c>
      <c r="C126" s="533">
        <f>SUMIFS('Trial 2025'!G:G,'Trial 2025'!B:B,Sheet4!B126)</f>
        <v>1947614</v>
      </c>
      <c r="D126" s="533"/>
    </row>
    <row r="127" spans="1:10">
      <c r="A127" s="512"/>
      <c r="B127" s="532" t="s">
        <v>386</v>
      </c>
      <c r="C127" s="533">
        <f>SUMIFS('Trial 2025'!G:G,'Trial 2025'!B:B,Sheet4!B127)</f>
        <v>0</v>
      </c>
      <c r="D127" s="533"/>
    </row>
    <row r="128" spans="1:10">
      <c r="A128" s="512"/>
      <c r="B128" s="532"/>
      <c r="C128" s="533"/>
      <c r="D128" s="533"/>
    </row>
    <row r="129" spans="1:4">
      <c r="A129" s="512"/>
      <c r="B129" s="512"/>
      <c r="C129" s="537">
        <f>SUM(C123:C127)</f>
        <v>1947636</v>
      </c>
      <c r="D129" s="537">
        <f>SUM(D123:D127)</f>
        <v>26228.27</v>
      </c>
    </row>
    <row r="131" spans="1:4">
      <c r="A131" s="512"/>
      <c r="B131" s="524" t="s">
        <v>453</v>
      </c>
      <c r="C131" s="531" t="str">
        <f>C137</f>
        <v>31.03.2025</v>
      </c>
      <c r="D131" s="531" t="str">
        <f>D137</f>
        <v>31.03.2024</v>
      </c>
    </row>
    <row r="132" spans="1:4">
      <c r="A132" s="512"/>
      <c r="B132" s="532" t="s">
        <v>454</v>
      </c>
      <c r="C132" s="533">
        <f>SUMIFS('Trial 2025'!G:G,'Trial 2025'!B:B,Sheet4!B132)</f>
        <v>0</v>
      </c>
      <c r="D132" s="533">
        <f>SUMIFS('Trial 2025'!I:I,'Trial 2025'!B:B,Sheet4!B132)</f>
        <v>0</v>
      </c>
    </row>
    <row r="133" spans="1:4">
      <c r="A133" s="512"/>
      <c r="B133" s="532" t="s">
        <v>455</v>
      </c>
      <c r="C133" s="533">
        <f>SUMIFS('Trial 2025'!G:G,'Trial 2025'!B:B,Sheet4!B133)</f>
        <v>0</v>
      </c>
      <c r="D133" s="533">
        <f>SUMIFS('Trial 2025'!I:I,'Trial 2025'!B:B,Sheet4!B133)</f>
        <v>0</v>
      </c>
    </row>
    <row r="134" spans="1:4">
      <c r="A134" s="512"/>
      <c r="B134" s="543"/>
      <c r="C134" s="533"/>
      <c r="D134" s="533"/>
    </row>
    <row r="135" spans="1:4">
      <c r="A135" s="512"/>
      <c r="B135" s="512"/>
      <c r="C135" s="537">
        <f>SUM(C132:C134)</f>
        <v>0</v>
      </c>
      <c r="D135" s="537">
        <f>SUM(D132:D134)</f>
        <v>0</v>
      </c>
    </row>
    <row r="137" spans="1:4">
      <c r="A137" s="512"/>
      <c r="B137" s="524" t="s">
        <v>456</v>
      </c>
      <c r="C137" s="531" t="str">
        <f>C70</f>
        <v>31.03.2025</v>
      </c>
      <c r="D137" s="531" t="str">
        <f>D70</f>
        <v>31.03.2024</v>
      </c>
    </row>
    <row r="138" spans="1:4">
      <c r="A138" s="512"/>
      <c r="B138" s="532" t="s">
        <v>391</v>
      </c>
      <c r="C138" s="533">
        <f>SUMIFS('Trial 2025'!G:G,'Trial 2025'!B:B,Sheet4!B138)</f>
        <v>0</v>
      </c>
      <c r="D138" s="533">
        <f>SUMIFS('Trial 2025'!I:I,'Trial 2025'!B:B,Sheet4!B138)</f>
        <v>281077.41999999993</v>
      </c>
    </row>
    <row r="139" spans="1:4">
      <c r="A139" s="512"/>
      <c r="B139" s="532" t="s">
        <v>457</v>
      </c>
      <c r="C139" s="533">
        <f>SUMIFS('Trial 2025'!G:G,'Trial 2025'!B:B,Sheet4!B139)</f>
        <v>291443</v>
      </c>
      <c r="D139" s="533">
        <f>SUMIFS('Trial 2025'!I:I,'Trial 2025'!B:B,Sheet4!B139)</f>
        <v>423071.57</v>
      </c>
    </row>
    <row r="140" spans="1:4">
      <c r="A140" s="512"/>
      <c r="B140" s="532" t="s">
        <v>458</v>
      </c>
      <c r="C140" s="533">
        <f>SUMIFS('Trial 2025'!G:G,'Trial 2025'!B:B,Sheet4!B140)</f>
        <v>398864.47</v>
      </c>
      <c r="D140" s="533">
        <f>SUMIFS('Trial 2025'!I:I,'Trial 2025'!B:B,Sheet4!B140)</f>
        <v>853722</v>
      </c>
    </row>
    <row r="141" spans="1:4">
      <c r="A141" s="512"/>
      <c r="B141" s="532"/>
      <c r="C141" s="533"/>
      <c r="D141" s="533"/>
    </row>
    <row r="142" spans="1:4">
      <c r="A142" s="512"/>
      <c r="B142" s="543"/>
      <c r="C142" s="533"/>
      <c r="D142" s="533"/>
    </row>
    <row r="143" spans="1:4">
      <c r="A143" s="512"/>
      <c r="B143" s="512"/>
      <c r="C143" s="537">
        <f>SUM(C138:C142)</f>
        <v>690307.47</v>
      </c>
      <c r="D143" s="537">
        <f>SUM(D138:D142)</f>
        <v>1557870.99</v>
      </c>
    </row>
    <row r="144" spans="1:4">
      <c r="C144" s="544"/>
      <c r="D144" s="544"/>
    </row>
  </sheetData>
  <conditionalFormatting sqref="B1:B1048576">
    <cfRule type="duplicateValues" dxfId="3" priority="1"/>
  </conditionalFormatting>
  <conditionalFormatting sqref="B30:B43">
    <cfRule type="duplicateValues" dxfId="2" priority="2"/>
  </conditionalFormatting>
  <pageMargins left="0.70866141732283472" right="0.70866141732283472" top="0.74803149606299213" bottom="0.74803149606299213" header="0.31496062992125984" footer="0.31496062992125984"/>
  <pageSetup paperSize="9" orientation="portrait" r:id="rId1"/>
  <rowBreaks count="1" manualBreakCount="1">
    <brk id="68" max="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269F-6D28-4A6B-8CEA-B9BBF499750A}">
  <dimension ref="A1:L246"/>
  <sheetViews>
    <sheetView zoomScale="110" zoomScaleNormal="110" workbookViewId="0">
      <pane xSplit="2" ySplit="8" topLeftCell="C176" activePane="bottomRight" state="frozen"/>
      <selection activeCell="I20" sqref="I20"/>
      <selection pane="topRight" activeCell="I20" sqref="I20"/>
      <selection pane="bottomLeft" activeCell="I20" sqref="I20"/>
      <selection pane="bottomRight" activeCell="I20" sqref="I20"/>
    </sheetView>
  </sheetViews>
  <sheetFormatPr defaultRowHeight="13.2"/>
  <cols>
    <col min="2" max="2" width="38.33203125" customWidth="1"/>
    <col min="3" max="3" width="15.5546875" style="64" customWidth="1"/>
    <col min="4" max="4" width="15.88671875" style="64" bestFit="1" customWidth="1"/>
    <col min="5" max="5" width="15.44140625" bestFit="1" customWidth="1"/>
    <col min="6" max="6" width="15.88671875" bestFit="1" customWidth="1"/>
    <col min="7" max="10" width="16.44140625" bestFit="1" customWidth="1"/>
    <col min="12" max="12" width="14.88671875" bestFit="1" customWidth="1"/>
  </cols>
  <sheetData>
    <row r="1" spans="2:10" ht="15.6">
      <c r="B1" s="545" t="str">
        <f>Sheet4!B1</f>
        <v>SINGLA STEEL CORPORATION</v>
      </c>
      <c r="C1" s="545"/>
      <c r="D1" s="545"/>
      <c r="I1" s="546"/>
      <c r="J1" s="546"/>
    </row>
    <row r="2" spans="2:10">
      <c r="B2" s="547" t="s">
        <v>459</v>
      </c>
      <c r="C2" s="548">
        <f>C231</f>
        <v>407874450.0200001</v>
      </c>
      <c r="D2" s="548">
        <f>D231</f>
        <v>407874450.01999998</v>
      </c>
      <c r="I2" s="546"/>
      <c r="J2" s="546"/>
    </row>
    <row r="3" spans="2:10" ht="15.6">
      <c r="B3" s="549" t="s">
        <v>460</v>
      </c>
      <c r="C3" s="549"/>
      <c r="D3" s="550">
        <f>C2-D2</f>
        <v>0</v>
      </c>
      <c r="I3" s="546"/>
      <c r="J3" s="546"/>
    </row>
    <row r="4" spans="2:10">
      <c r="B4" s="551" t="s">
        <v>461</v>
      </c>
      <c r="C4" s="551"/>
      <c r="D4" s="551"/>
      <c r="I4" s="546" t="s">
        <v>461</v>
      </c>
      <c r="J4" s="546"/>
    </row>
    <row r="5" spans="2:10" ht="12.75" customHeight="1">
      <c r="B5" s="552" t="s">
        <v>462</v>
      </c>
      <c r="C5" s="553" t="str">
        <f>B1</f>
        <v>SINGLA STEEL CORPORATION</v>
      </c>
      <c r="D5" s="554"/>
      <c r="E5" s="555" t="str">
        <f>C5</f>
        <v>SINGLA STEEL CORPORATION</v>
      </c>
      <c r="F5" s="556"/>
      <c r="G5" s="555" t="str">
        <f>E5</f>
        <v>SINGLA STEEL CORPORATION</v>
      </c>
      <c r="H5" s="556"/>
      <c r="I5" s="557" t="str">
        <f>G5</f>
        <v>SINGLA STEEL CORPORATION</v>
      </c>
      <c r="J5" s="558"/>
    </row>
    <row r="6" spans="2:10" ht="12.75" customHeight="1">
      <c r="B6" s="559" t="s">
        <v>329</v>
      </c>
      <c r="C6" s="560" t="str">
        <f>B4</f>
        <v>1-Apr-2023 to 31-Mar-2024</v>
      </c>
      <c r="D6" s="561"/>
      <c r="E6" s="560"/>
      <c r="F6" s="561"/>
      <c r="G6" s="560" t="str">
        <f>B4</f>
        <v>1-Apr-2023 to 31-Mar-2024</v>
      </c>
      <c r="H6" s="562"/>
      <c r="I6" s="563">
        <f>D4</f>
        <v>0</v>
      </c>
      <c r="J6" s="564"/>
    </row>
    <row r="7" spans="2:10">
      <c r="B7" s="559" t="s">
        <v>462</v>
      </c>
      <c r="C7" s="565" t="s">
        <v>463</v>
      </c>
      <c r="D7" s="566"/>
      <c r="E7" s="555" t="s">
        <v>464</v>
      </c>
      <c r="F7" s="567"/>
      <c r="G7" s="555" t="s">
        <v>465</v>
      </c>
      <c r="H7" s="567"/>
      <c r="I7" s="557" t="s">
        <v>465</v>
      </c>
      <c r="J7" s="568"/>
    </row>
    <row r="8" spans="2:10">
      <c r="B8" s="569" t="s">
        <v>462</v>
      </c>
      <c r="C8" s="570" t="s">
        <v>466</v>
      </c>
      <c r="D8" s="570" t="s">
        <v>467</v>
      </c>
      <c r="E8" s="570" t="s">
        <v>466</v>
      </c>
      <c r="F8" s="570" t="s">
        <v>467</v>
      </c>
      <c r="G8" s="570" t="s">
        <v>466</v>
      </c>
      <c r="H8" s="570" t="s">
        <v>467</v>
      </c>
      <c r="I8" s="571" t="s">
        <v>466</v>
      </c>
      <c r="J8" s="571" t="s">
        <v>467</v>
      </c>
    </row>
    <row r="9" spans="2:10">
      <c r="B9" s="572" t="s">
        <v>468</v>
      </c>
      <c r="C9" s="573"/>
      <c r="D9" s="573"/>
      <c r="E9" s="573"/>
      <c r="F9" s="573"/>
      <c r="G9" s="573"/>
      <c r="H9" s="573"/>
      <c r="I9" s="574"/>
      <c r="J9" s="574"/>
    </row>
    <row r="10" spans="2:10">
      <c r="B10" s="575" t="s">
        <v>469</v>
      </c>
      <c r="C10" s="576"/>
      <c r="D10" s="576"/>
      <c r="E10" s="576"/>
      <c r="F10" s="576"/>
      <c r="G10" s="576"/>
      <c r="H10" s="576"/>
      <c r="I10" s="577"/>
      <c r="J10" s="577"/>
    </row>
    <row r="11" spans="2:10">
      <c r="B11" s="578" t="s">
        <v>470</v>
      </c>
      <c r="C11" s="579"/>
      <c r="D11" s="580">
        <v>14177491.34</v>
      </c>
      <c r="E11" s="579"/>
      <c r="F11" s="579"/>
      <c r="G11" s="579">
        <f t="shared" ref="G11:H26" si="0">C11+E11</f>
        <v>0</v>
      </c>
      <c r="H11" s="579">
        <f t="shared" si="0"/>
        <v>14177491.34</v>
      </c>
      <c r="I11" s="581"/>
      <c r="J11" s="581"/>
    </row>
    <row r="12" spans="2:10">
      <c r="B12" s="582" t="s">
        <v>471</v>
      </c>
      <c r="C12" s="583"/>
      <c r="D12" s="583"/>
      <c r="E12" s="583"/>
      <c r="F12" s="583"/>
      <c r="G12" s="579">
        <f t="shared" si="0"/>
        <v>0</v>
      </c>
      <c r="H12" s="579">
        <f t="shared" si="0"/>
        <v>0</v>
      </c>
      <c r="I12" s="581"/>
      <c r="J12" s="581"/>
    </row>
    <row r="13" spans="2:10">
      <c r="B13" s="572" t="s">
        <v>472</v>
      </c>
      <c r="C13" s="579"/>
      <c r="D13" s="579"/>
      <c r="E13" s="579"/>
      <c r="F13" s="579"/>
      <c r="G13" s="579">
        <f t="shared" si="0"/>
        <v>0</v>
      </c>
      <c r="H13" s="579">
        <f t="shared" si="0"/>
        <v>0</v>
      </c>
      <c r="I13" s="581"/>
      <c r="J13" s="581"/>
    </row>
    <row r="14" spans="2:10">
      <c r="B14" s="575" t="s">
        <v>360</v>
      </c>
      <c r="C14" s="579"/>
      <c r="D14" s="579"/>
      <c r="E14" s="579"/>
      <c r="F14" s="579"/>
      <c r="G14" s="579">
        <f t="shared" si="0"/>
        <v>0</v>
      </c>
      <c r="H14" s="579">
        <f t="shared" si="0"/>
        <v>0</v>
      </c>
      <c r="I14" s="581"/>
      <c r="J14" s="581"/>
    </row>
    <row r="15" spans="2:10">
      <c r="B15" s="578" t="s">
        <v>361</v>
      </c>
      <c r="C15" s="579"/>
      <c r="D15" s="584">
        <v>9407705.9900000002</v>
      </c>
      <c r="E15" s="579"/>
      <c r="F15" s="579"/>
      <c r="G15" s="579">
        <f t="shared" si="0"/>
        <v>0</v>
      </c>
      <c r="H15" s="579">
        <f t="shared" si="0"/>
        <v>9407705.9900000002</v>
      </c>
      <c r="I15" s="581"/>
      <c r="J15" s="581">
        <v>7180440.6399999997</v>
      </c>
    </row>
    <row r="16" spans="2:10">
      <c r="B16" s="575" t="s">
        <v>473</v>
      </c>
      <c r="C16" s="579"/>
      <c r="D16" s="579"/>
      <c r="E16" s="579"/>
      <c r="F16" s="579"/>
      <c r="G16" s="579">
        <f t="shared" si="0"/>
        <v>0</v>
      </c>
      <c r="H16" s="579">
        <f t="shared" si="0"/>
        <v>0</v>
      </c>
      <c r="I16" s="581"/>
      <c r="J16" s="581"/>
    </row>
    <row r="17" spans="2:12">
      <c r="B17" s="578" t="s">
        <v>369</v>
      </c>
      <c r="C17" s="579"/>
      <c r="D17" s="579"/>
      <c r="E17" s="579"/>
      <c r="F17" s="579"/>
      <c r="G17" s="579">
        <f t="shared" si="0"/>
        <v>0</v>
      </c>
      <c r="H17" s="579">
        <f t="shared" si="0"/>
        <v>0</v>
      </c>
      <c r="I17" s="581"/>
      <c r="J17" s="581">
        <v>16473117</v>
      </c>
    </row>
    <row r="18" spans="2:12">
      <c r="B18" s="578" t="s">
        <v>474</v>
      </c>
      <c r="C18" s="579"/>
      <c r="D18" s="584">
        <v>4365237</v>
      </c>
      <c r="E18" s="579"/>
      <c r="F18" s="579"/>
      <c r="G18" s="579">
        <f t="shared" si="0"/>
        <v>0</v>
      </c>
      <c r="H18" s="579">
        <f t="shared" si="0"/>
        <v>4365237</v>
      </c>
      <c r="I18" s="581"/>
      <c r="J18" s="581">
        <v>3957616</v>
      </c>
    </row>
    <row r="19" spans="2:12">
      <c r="B19" s="578" t="s">
        <v>475</v>
      </c>
      <c r="C19" s="579"/>
      <c r="D19" s="584">
        <v>4591958</v>
      </c>
      <c r="E19" s="579"/>
      <c r="F19" s="579"/>
      <c r="G19" s="579">
        <f t="shared" si="0"/>
        <v>0</v>
      </c>
      <c r="H19" s="579">
        <f t="shared" si="0"/>
        <v>4591958</v>
      </c>
      <c r="I19" s="581"/>
      <c r="J19" s="581">
        <v>4194995</v>
      </c>
    </row>
    <row r="20" spans="2:12">
      <c r="B20" s="578" t="s">
        <v>372</v>
      </c>
      <c r="C20" s="579"/>
      <c r="D20" s="584">
        <v>7836374</v>
      </c>
      <c r="E20" s="579"/>
      <c r="F20" s="579"/>
      <c r="G20" s="579">
        <f t="shared" si="0"/>
        <v>0</v>
      </c>
      <c r="H20" s="579">
        <f t="shared" si="0"/>
        <v>7836374</v>
      </c>
      <c r="I20" s="581"/>
      <c r="J20" s="581">
        <v>8765010</v>
      </c>
    </row>
    <row r="21" spans="2:12">
      <c r="B21" s="578" t="s">
        <v>373</v>
      </c>
      <c r="C21" s="579"/>
      <c r="D21" s="579"/>
      <c r="E21" s="579"/>
      <c r="F21" s="579"/>
      <c r="G21" s="579">
        <f t="shared" si="0"/>
        <v>0</v>
      </c>
      <c r="H21" s="579">
        <f t="shared" si="0"/>
        <v>0</v>
      </c>
      <c r="I21" s="581"/>
      <c r="J21" s="581">
        <v>5234036</v>
      </c>
    </row>
    <row r="22" spans="2:12">
      <c r="B22" s="578" t="s">
        <v>374</v>
      </c>
      <c r="C22" s="579"/>
      <c r="D22" s="584">
        <v>1074600</v>
      </c>
      <c r="E22" s="579"/>
      <c r="F22" s="579"/>
      <c r="G22" s="579">
        <f t="shared" si="0"/>
        <v>0</v>
      </c>
      <c r="H22" s="579">
        <f t="shared" si="0"/>
        <v>1074600</v>
      </c>
      <c r="I22" s="581"/>
      <c r="J22" s="581"/>
    </row>
    <row r="23" spans="2:12">
      <c r="B23" s="578" t="s">
        <v>375</v>
      </c>
      <c r="C23" s="579"/>
      <c r="D23" s="584">
        <v>1319800</v>
      </c>
      <c r="E23" s="579"/>
      <c r="F23" s="579"/>
      <c r="G23" s="579">
        <f t="shared" si="0"/>
        <v>0</v>
      </c>
      <c r="H23" s="579">
        <f t="shared" si="0"/>
        <v>1319800</v>
      </c>
      <c r="I23" s="581"/>
      <c r="J23" s="581"/>
    </row>
    <row r="24" spans="2:12">
      <c r="B24" s="572" t="s">
        <v>476</v>
      </c>
      <c r="C24" s="579"/>
      <c r="D24" s="579"/>
      <c r="E24" s="579"/>
      <c r="F24" s="579"/>
      <c r="G24" s="579">
        <f t="shared" si="0"/>
        <v>0</v>
      </c>
      <c r="H24" s="579">
        <f t="shared" si="0"/>
        <v>0</v>
      </c>
      <c r="I24" s="581"/>
      <c r="J24" s="581"/>
    </row>
    <row r="25" spans="2:12">
      <c r="B25" s="575" t="s">
        <v>477</v>
      </c>
      <c r="C25" s="579"/>
      <c r="D25" s="579"/>
      <c r="E25" s="579"/>
      <c r="F25" s="579"/>
      <c r="G25" s="579">
        <f t="shared" si="0"/>
        <v>0</v>
      </c>
      <c r="H25" s="579">
        <f t="shared" si="0"/>
        <v>0</v>
      </c>
      <c r="I25" s="581"/>
      <c r="J25" s="581"/>
    </row>
    <row r="26" spans="2:12">
      <c r="B26" s="578" t="s">
        <v>391</v>
      </c>
      <c r="C26" s="579">
        <f>5276.45+5276.45+96540+147010+7492.9</f>
        <v>261595.8</v>
      </c>
      <c r="D26" s="584">
        <f>19768.12+19788.12+7492+228258.4</f>
        <v>275306.64</v>
      </c>
      <c r="E26" s="579">
        <f>-C26</f>
        <v>-261595.8</v>
      </c>
      <c r="F26" s="579">
        <f>E26</f>
        <v>-261595.8</v>
      </c>
      <c r="G26" s="579">
        <f t="shared" si="0"/>
        <v>0</v>
      </c>
      <c r="H26" s="579">
        <f t="shared" si="0"/>
        <v>13710.840000000026</v>
      </c>
      <c r="I26" s="581">
        <v>281077.41999999993</v>
      </c>
      <c r="J26" s="581">
        <v>1100</v>
      </c>
    </row>
    <row r="27" spans="2:12">
      <c r="B27" s="578" t="s">
        <v>392</v>
      </c>
      <c r="C27" s="579"/>
      <c r="D27" s="584">
        <v>142007</v>
      </c>
      <c r="E27" s="579">
        <f>F27</f>
        <v>0</v>
      </c>
      <c r="F27" s="579">
        <f>-C27</f>
        <v>0</v>
      </c>
      <c r="G27" s="579">
        <f t="shared" ref="G27:H90" si="1">C27+E27</f>
        <v>0</v>
      </c>
      <c r="H27" s="579">
        <f t="shared" si="1"/>
        <v>142007</v>
      </c>
      <c r="I27" s="581"/>
      <c r="J27" s="581">
        <v>236993</v>
      </c>
    </row>
    <row r="28" spans="2:12">
      <c r="B28" s="578" t="s">
        <v>394</v>
      </c>
      <c r="C28" s="579"/>
      <c r="D28" s="584">
        <f>20299+20299</f>
        <v>40598</v>
      </c>
      <c r="E28" s="579"/>
      <c r="F28" s="579"/>
      <c r="G28" s="579">
        <f t="shared" si="1"/>
        <v>0</v>
      </c>
      <c r="H28" s="579">
        <f t="shared" si="1"/>
        <v>40598</v>
      </c>
      <c r="I28" s="581"/>
      <c r="J28" s="581"/>
    </row>
    <row r="29" spans="2:12">
      <c r="B29" s="578" t="s">
        <v>393</v>
      </c>
      <c r="C29" s="579"/>
      <c r="D29" s="579"/>
      <c r="E29" s="579"/>
      <c r="F29" s="579"/>
      <c r="G29" s="579">
        <f t="shared" si="1"/>
        <v>0</v>
      </c>
      <c r="H29" s="579">
        <f t="shared" si="1"/>
        <v>0</v>
      </c>
      <c r="I29" s="581"/>
      <c r="J29" s="581">
        <v>122981</v>
      </c>
    </row>
    <row r="30" spans="2:12">
      <c r="B30" s="575" t="s">
        <v>478</v>
      </c>
      <c r="C30" s="579"/>
      <c r="D30" s="579"/>
      <c r="E30" s="579"/>
      <c r="F30" s="579"/>
      <c r="G30" s="579">
        <f t="shared" si="1"/>
        <v>0</v>
      </c>
      <c r="H30" s="579">
        <f t="shared" si="1"/>
        <v>0</v>
      </c>
      <c r="I30" s="581"/>
      <c r="J30" s="581"/>
    </row>
    <row r="31" spans="2:12">
      <c r="B31" s="578" t="s">
        <v>377</v>
      </c>
      <c r="C31" s="583"/>
      <c r="D31" s="583"/>
      <c r="E31" s="583"/>
      <c r="F31" s="583"/>
      <c r="G31" s="579">
        <f t="shared" si="1"/>
        <v>0</v>
      </c>
      <c r="H31" s="579">
        <f t="shared" si="1"/>
        <v>0</v>
      </c>
      <c r="I31" s="581"/>
      <c r="J31" s="581">
        <v>55371</v>
      </c>
      <c r="L31" s="523">
        <f>VLOOKUP(B31,Sheet4!B:C,2,0)-G31</f>
        <v>0</v>
      </c>
    </row>
    <row r="32" spans="2:12">
      <c r="B32" s="578" t="s">
        <v>378</v>
      </c>
      <c r="C32" s="583"/>
      <c r="D32" s="585">
        <v>14091808</v>
      </c>
      <c r="E32" s="583"/>
      <c r="F32" s="583"/>
      <c r="G32" s="579">
        <f t="shared" si="1"/>
        <v>0</v>
      </c>
      <c r="H32" s="579">
        <f t="shared" si="1"/>
        <v>14091808</v>
      </c>
      <c r="I32" s="581"/>
      <c r="J32" s="581">
        <v>15085398</v>
      </c>
      <c r="L32" s="523">
        <f>VLOOKUP(B32,Sheet4!B:C,2,0)-G32</f>
        <v>14091808</v>
      </c>
    </row>
    <row r="33" spans="2:12">
      <c r="B33" s="578" t="s">
        <v>379</v>
      </c>
      <c r="C33" s="583"/>
      <c r="D33" s="583"/>
      <c r="E33" s="583"/>
      <c r="F33" s="583"/>
      <c r="G33" s="579">
        <f t="shared" si="1"/>
        <v>0</v>
      </c>
      <c r="H33" s="579">
        <f t="shared" si="1"/>
        <v>0</v>
      </c>
      <c r="I33" s="581"/>
      <c r="J33" s="581">
        <v>231024</v>
      </c>
      <c r="L33" s="523">
        <f>VLOOKUP(B33,Sheet4!B:C,2,0)-G33</f>
        <v>0</v>
      </c>
    </row>
    <row r="34" spans="2:12">
      <c r="B34" s="578" t="s">
        <v>380</v>
      </c>
      <c r="C34" s="583"/>
      <c r="D34" s="583"/>
      <c r="E34" s="583"/>
      <c r="F34" s="583"/>
      <c r="G34" s="579">
        <f t="shared" si="1"/>
        <v>0</v>
      </c>
      <c r="H34" s="579">
        <f t="shared" si="1"/>
        <v>0</v>
      </c>
      <c r="I34" s="581"/>
      <c r="J34" s="581">
        <v>100000</v>
      </c>
      <c r="L34" s="523">
        <f>VLOOKUP(B34,Sheet4!B:C,2,0)-G34</f>
        <v>0</v>
      </c>
    </row>
    <row r="35" spans="2:12">
      <c r="B35" s="578" t="s">
        <v>381</v>
      </c>
      <c r="C35" s="583"/>
      <c r="D35" s="585">
        <v>149858</v>
      </c>
      <c r="E35" s="583"/>
      <c r="F35" s="583"/>
      <c r="G35" s="579">
        <f t="shared" si="1"/>
        <v>0</v>
      </c>
      <c r="H35" s="579">
        <f t="shared" si="1"/>
        <v>149858</v>
      </c>
      <c r="I35" s="581"/>
      <c r="J35" s="581">
        <v>28385</v>
      </c>
      <c r="L35" s="523">
        <f>VLOOKUP(B35,Sheet4!B:C,2,0)-G35</f>
        <v>149858</v>
      </c>
    </row>
    <row r="36" spans="2:12">
      <c r="B36" s="578" t="s">
        <v>382</v>
      </c>
      <c r="C36" s="583"/>
      <c r="D36" s="583"/>
      <c r="E36" s="583"/>
      <c r="F36" s="583"/>
      <c r="G36" s="579">
        <f t="shared" si="1"/>
        <v>0</v>
      </c>
      <c r="H36" s="579">
        <f t="shared" si="1"/>
        <v>0</v>
      </c>
      <c r="I36" s="581"/>
      <c r="J36" s="581">
        <v>865</v>
      </c>
      <c r="L36" s="523">
        <f>VLOOKUP(B36,Sheet4!B:C,2,0)-G36</f>
        <v>0</v>
      </c>
    </row>
    <row r="37" spans="2:12">
      <c r="B37" s="578" t="s">
        <v>383</v>
      </c>
      <c r="C37" s="583"/>
      <c r="D37" s="585">
        <v>105750</v>
      </c>
      <c r="E37" s="583"/>
      <c r="F37" s="583"/>
      <c r="G37" s="579">
        <f t="shared" si="1"/>
        <v>0</v>
      </c>
      <c r="H37" s="579">
        <f t="shared" si="1"/>
        <v>105750</v>
      </c>
      <c r="I37" s="581"/>
      <c r="J37" s="581">
        <v>122634</v>
      </c>
      <c r="L37" s="523">
        <f>VLOOKUP(B37,Sheet4!B:C,2,0)-G37</f>
        <v>105750</v>
      </c>
    </row>
    <row r="38" spans="2:12">
      <c r="B38" s="578" t="s">
        <v>384</v>
      </c>
      <c r="C38" s="579"/>
      <c r="D38" s="583"/>
      <c r="E38" s="583"/>
      <c r="F38" s="583"/>
      <c r="G38" s="579">
        <f t="shared" si="1"/>
        <v>0</v>
      </c>
      <c r="H38" s="579">
        <f t="shared" si="1"/>
        <v>0</v>
      </c>
      <c r="I38" s="581"/>
      <c r="J38" s="581">
        <v>63668</v>
      </c>
      <c r="L38" s="523">
        <f>VLOOKUP(B38,Sheet4!B:C,2,0)-G38</f>
        <v>0</v>
      </c>
    </row>
    <row r="39" spans="2:12">
      <c r="B39" s="578" t="s">
        <v>385</v>
      </c>
      <c r="C39" s="583"/>
      <c r="D39" s="583"/>
      <c r="E39" s="583"/>
      <c r="F39" s="583">
        <f>E210+E171</f>
        <v>0</v>
      </c>
      <c r="G39" s="579">
        <f t="shared" si="1"/>
        <v>0</v>
      </c>
      <c r="H39" s="579">
        <f t="shared" si="1"/>
        <v>0</v>
      </c>
      <c r="I39" s="581"/>
      <c r="J39" s="581">
        <v>426208</v>
      </c>
      <c r="L39" s="523">
        <f>VLOOKUP(B39,Sheet4!B:C,2,0)-G39</f>
        <v>0</v>
      </c>
    </row>
    <row r="40" spans="2:12">
      <c r="B40" s="578" t="s">
        <v>386</v>
      </c>
      <c r="C40" s="583"/>
      <c r="D40" s="585">
        <v>34.64</v>
      </c>
      <c r="E40" s="583"/>
      <c r="F40" s="583"/>
      <c r="G40" s="579">
        <f t="shared" si="1"/>
        <v>0</v>
      </c>
      <c r="H40" s="579">
        <f t="shared" si="1"/>
        <v>34.64</v>
      </c>
      <c r="I40" s="581"/>
      <c r="J40" s="581">
        <v>193.64</v>
      </c>
      <c r="L40" s="523">
        <f>VLOOKUP(B40,Sheet4!B:C,2,0)-G40</f>
        <v>34.64</v>
      </c>
    </row>
    <row r="41" spans="2:12">
      <c r="B41" s="578" t="s">
        <v>387</v>
      </c>
      <c r="C41" s="585">
        <v>1947614</v>
      </c>
      <c r="D41" s="583"/>
      <c r="E41" s="583"/>
      <c r="F41" s="583"/>
      <c r="G41" s="579">
        <f t="shared" si="1"/>
        <v>1947614</v>
      </c>
      <c r="H41" s="579">
        <f t="shared" si="1"/>
        <v>0</v>
      </c>
      <c r="I41" s="581"/>
      <c r="J41" s="581">
        <v>2334684</v>
      </c>
      <c r="L41" s="523">
        <f>VLOOKUP(B41,Sheet4!B:C,2,0)-G41</f>
        <v>-1947614</v>
      </c>
    </row>
    <row r="42" spans="2:12">
      <c r="B42" s="578" t="s">
        <v>388</v>
      </c>
      <c r="C42" s="583"/>
      <c r="D42" s="583"/>
      <c r="E42" s="583"/>
      <c r="F42" s="583"/>
      <c r="G42" s="579">
        <f t="shared" si="1"/>
        <v>0</v>
      </c>
      <c r="H42" s="579">
        <f t="shared" si="1"/>
        <v>0</v>
      </c>
      <c r="I42" s="581"/>
      <c r="J42" s="581">
        <v>40139</v>
      </c>
      <c r="L42" s="523">
        <f>VLOOKUP(B42,Sheet4!B:C,2,0)-G42</f>
        <v>0</v>
      </c>
    </row>
    <row r="43" spans="2:12">
      <c r="B43" s="578" t="s">
        <v>389</v>
      </c>
      <c r="C43" s="583"/>
      <c r="D43" s="585">
        <v>1496414</v>
      </c>
      <c r="E43" s="583"/>
      <c r="F43" s="583"/>
      <c r="G43" s="579">
        <f t="shared" si="1"/>
        <v>0</v>
      </c>
      <c r="H43" s="579">
        <f t="shared" si="1"/>
        <v>1496414</v>
      </c>
      <c r="I43" s="581"/>
      <c r="J43" s="581"/>
      <c r="L43" s="523"/>
    </row>
    <row r="44" spans="2:12">
      <c r="B44" s="578" t="s">
        <v>479</v>
      </c>
      <c r="C44" s="583"/>
      <c r="D44" s="583"/>
      <c r="E44" s="583"/>
      <c r="F44" s="583"/>
      <c r="G44" s="579">
        <f t="shared" si="1"/>
        <v>0</v>
      </c>
      <c r="H44" s="579">
        <f t="shared" si="1"/>
        <v>0</v>
      </c>
      <c r="I44" s="581"/>
      <c r="J44" s="581"/>
      <c r="L44" s="523" t="e">
        <f>VLOOKUP(B44,Sheet4!B:C,2,0)-G44</f>
        <v>#N/A</v>
      </c>
    </row>
    <row r="45" spans="2:12">
      <c r="B45" s="578" t="s">
        <v>480</v>
      </c>
      <c r="C45" s="583"/>
      <c r="D45" s="583"/>
      <c r="E45" s="583"/>
      <c r="F45" s="583"/>
      <c r="G45" s="579">
        <f t="shared" si="1"/>
        <v>0</v>
      </c>
      <c r="H45" s="579">
        <f t="shared" si="1"/>
        <v>0</v>
      </c>
      <c r="I45" s="581"/>
      <c r="J45" s="581"/>
      <c r="L45" s="523" t="e">
        <f>VLOOKUP(B45,Sheet4!B:C,2,0)-G45</f>
        <v>#N/A</v>
      </c>
    </row>
    <row r="46" spans="2:12">
      <c r="B46" s="578" t="s">
        <v>481</v>
      </c>
      <c r="C46" s="583"/>
      <c r="D46" s="583"/>
      <c r="E46" s="583"/>
      <c r="F46" s="583"/>
      <c r="G46" s="579">
        <f t="shared" si="1"/>
        <v>0</v>
      </c>
      <c r="H46" s="579">
        <f t="shared" si="1"/>
        <v>0</v>
      </c>
      <c r="I46" s="581"/>
      <c r="J46" s="581"/>
      <c r="L46" s="523" t="e">
        <f>VLOOKUP(B46,Sheet4!B:C,2,0)-G46</f>
        <v>#N/A</v>
      </c>
    </row>
    <row r="47" spans="2:12">
      <c r="B47" s="578" t="s">
        <v>482</v>
      </c>
      <c r="C47" s="583"/>
      <c r="D47" s="583"/>
      <c r="E47" s="583"/>
      <c r="F47" s="583"/>
      <c r="G47" s="579">
        <f t="shared" si="1"/>
        <v>0</v>
      </c>
      <c r="H47" s="579">
        <f t="shared" si="1"/>
        <v>0</v>
      </c>
      <c r="I47" s="581"/>
      <c r="J47" s="581"/>
      <c r="L47" s="523" t="e">
        <f>VLOOKUP(B47,Sheet4!B:C,2,0)-G47</f>
        <v>#N/A</v>
      </c>
    </row>
    <row r="48" spans="2:12">
      <c r="B48" s="578" t="s">
        <v>483</v>
      </c>
      <c r="C48" s="583"/>
      <c r="D48" s="583"/>
      <c r="E48" s="583"/>
      <c r="F48" s="583"/>
      <c r="G48" s="579">
        <f t="shared" si="1"/>
        <v>0</v>
      </c>
      <c r="H48" s="579">
        <f t="shared" si="1"/>
        <v>0</v>
      </c>
      <c r="I48" s="581"/>
      <c r="J48" s="581"/>
      <c r="L48" s="523" t="e">
        <f>VLOOKUP(B48,Sheet4!B:C,2,0)-G48</f>
        <v>#N/A</v>
      </c>
    </row>
    <row r="49" spans="2:12">
      <c r="B49" s="578" t="s">
        <v>484</v>
      </c>
      <c r="C49" s="583"/>
      <c r="D49" s="583"/>
      <c r="E49" s="583"/>
      <c r="F49" s="583"/>
      <c r="G49" s="579">
        <f t="shared" si="1"/>
        <v>0</v>
      </c>
      <c r="H49" s="579">
        <f t="shared" si="1"/>
        <v>0</v>
      </c>
      <c r="I49" s="581"/>
      <c r="J49" s="581"/>
      <c r="L49" s="523" t="e">
        <f>VLOOKUP(B49,Sheet4!B:C,2,0)-G49</f>
        <v>#N/A</v>
      </c>
    </row>
    <row r="50" spans="2:12">
      <c r="B50" s="578" t="s">
        <v>396</v>
      </c>
      <c r="C50" s="583"/>
      <c r="D50" s="583"/>
      <c r="E50" s="583"/>
      <c r="F50" s="583"/>
      <c r="G50" s="579">
        <f t="shared" si="1"/>
        <v>0</v>
      </c>
      <c r="H50" s="579">
        <f t="shared" si="1"/>
        <v>0</v>
      </c>
      <c r="I50" s="581"/>
      <c r="J50" s="581"/>
      <c r="L50" s="523">
        <f>VLOOKUP(B50,Sheet4!B:C,2,0)-G50</f>
        <v>67365</v>
      </c>
    </row>
    <row r="51" spans="2:12">
      <c r="B51" s="578" t="s">
        <v>397</v>
      </c>
      <c r="C51" s="583"/>
      <c r="D51" s="583"/>
      <c r="E51" s="583"/>
      <c r="F51" s="583"/>
      <c r="G51" s="579">
        <f t="shared" si="1"/>
        <v>0</v>
      </c>
      <c r="H51" s="579">
        <f t="shared" si="1"/>
        <v>0</v>
      </c>
      <c r="I51" s="581"/>
      <c r="J51" s="581"/>
      <c r="L51" s="523">
        <f>VLOOKUP(B51,Sheet4!B:C,2,0)-G51</f>
        <v>40</v>
      </c>
    </row>
    <row r="52" spans="2:12">
      <c r="B52" s="578" t="s">
        <v>485</v>
      </c>
      <c r="C52" s="583"/>
      <c r="D52" s="583"/>
      <c r="E52" s="583"/>
      <c r="F52" s="583"/>
      <c r="G52" s="579">
        <f t="shared" si="1"/>
        <v>0</v>
      </c>
      <c r="H52" s="579">
        <f t="shared" si="1"/>
        <v>0</v>
      </c>
      <c r="I52" s="581"/>
      <c r="J52" s="581"/>
      <c r="L52" s="523" t="e">
        <f>VLOOKUP(B52,Sheet4!B:C,2,0)-G52</f>
        <v>#N/A</v>
      </c>
    </row>
    <row r="53" spans="2:12">
      <c r="B53" s="578" t="s">
        <v>486</v>
      </c>
      <c r="C53" s="583"/>
      <c r="D53" s="583"/>
      <c r="E53" s="583"/>
      <c r="F53" s="583"/>
      <c r="G53" s="579">
        <f t="shared" si="1"/>
        <v>0</v>
      </c>
      <c r="H53" s="579">
        <f t="shared" si="1"/>
        <v>0</v>
      </c>
      <c r="I53" s="581"/>
      <c r="J53" s="581"/>
      <c r="L53" s="523" t="e">
        <f>VLOOKUP(B53,Sheet4!B:C,2,0)-G53</f>
        <v>#N/A</v>
      </c>
    </row>
    <row r="54" spans="2:12">
      <c r="B54" s="578" t="s">
        <v>487</v>
      </c>
      <c r="C54" s="583"/>
      <c r="D54" s="583"/>
      <c r="E54" s="583"/>
      <c r="F54" s="583"/>
      <c r="G54" s="579">
        <f t="shared" si="1"/>
        <v>0</v>
      </c>
      <c r="H54" s="579">
        <f t="shared" si="1"/>
        <v>0</v>
      </c>
      <c r="I54" s="581"/>
      <c r="J54" s="581"/>
      <c r="L54" s="523" t="e">
        <f>VLOOKUP(B54,Sheet4!B:C,2,0)-G54</f>
        <v>#N/A</v>
      </c>
    </row>
    <row r="55" spans="2:12">
      <c r="B55" s="575" t="s">
        <v>488</v>
      </c>
      <c r="C55" s="583"/>
      <c r="D55" s="583"/>
      <c r="E55" s="583"/>
      <c r="F55" s="583"/>
      <c r="G55" s="579">
        <f t="shared" si="1"/>
        <v>0</v>
      </c>
      <c r="H55" s="579">
        <f t="shared" si="1"/>
        <v>0</v>
      </c>
      <c r="I55" s="581"/>
      <c r="J55" s="581"/>
    </row>
    <row r="56" spans="2:12">
      <c r="B56" s="586" t="s">
        <v>399</v>
      </c>
      <c r="C56" s="583"/>
      <c r="D56" s="583"/>
      <c r="E56" s="583">
        <f>-C56</f>
        <v>0</v>
      </c>
      <c r="F56" s="583"/>
      <c r="G56" s="579">
        <f t="shared" si="1"/>
        <v>0</v>
      </c>
      <c r="H56" s="579">
        <f t="shared" si="1"/>
        <v>0</v>
      </c>
      <c r="I56" s="581"/>
      <c r="J56" s="581"/>
    </row>
    <row r="57" spans="2:12">
      <c r="B57" s="586" t="s">
        <v>489</v>
      </c>
      <c r="C57" s="583"/>
      <c r="D57" s="583"/>
      <c r="E57" s="583"/>
      <c r="F57" s="583"/>
      <c r="G57" s="579">
        <f t="shared" si="1"/>
        <v>0</v>
      </c>
      <c r="H57" s="579">
        <f t="shared" si="1"/>
        <v>0</v>
      </c>
      <c r="I57" s="581"/>
      <c r="J57" s="581"/>
    </row>
    <row r="58" spans="2:12">
      <c r="B58" s="586" t="s">
        <v>401</v>
      </c>
      <c r="C58" s="583"/>
      <c r="D58" s="583"/>
      <c r="E58" s="583"/>
      <c r="F58" s="583"/>
      <c r="G58" s="579">
        <f t="shared" si="1"/>
        <v>0</v>
      </c>
      <c r="H58" s="579">
        <f t="shared" si="1"/>
        <v>0</v>
      </c>
      <c r="I58" s="581"/>
      <c r="J58" s="581"/>
    </row>
    <row r="59" spans="2:12">
      <c r="B59" s="586" t="s">
        <v>490</v>
      </c>
      <c r="C59" s="579"/>
      <c r="D59" s="579"/>
      <c r="E59" s="579">
        <f>-C59</f>
        <v>0</v>
      </c>
      <c r="F59" s="579">
        <f>E193</f>
        <v>15000</v>
      </c>
      <c r="G59" s="579">
        <f t="shared" si="1"/>
        <v>0</v>
      </c>
      <c r="H59" s="579">
        <f t="shared" si="1"/>
        <v>15000</v>
      </c>
      <c r="I59" s="581"/>
      <c r="J59" s="581">
        <v>15000</v>
      </c>
    </row>
    <row r="60" spans="2:12">
      <c r="B60" s="586" t="s">
        <v>400</v>
      </c>
      <c r="C60" s="579"/>
      <c r="D60" s="579"/>
      <c r="E60" s="579"/>
      <c r="F60" s="579"/>
      <c r="G60" s="579">
        <f t="shared" si="1"/>
        <v>0</v>
      </c>
      <c r="H60" s="579">
        <f t="shared" si="1"/>
        <v>0</v>
      </c>
      <c r="I60" s="581"/>
      <c r="J60" s="581">
        <v>2340</v>
      </c>
    </row>
    <row r="61" spans="2:12">
      <c r="B61" s="586" t="s">
        <v>491</v>
      </c>
      <c r="C61" s="579"/>
      <c r="D61" s="579"/>
      <c r="E61" s="579"/>
      <c r="F61" s="579"/>
      <c r="G61" s="579">
        <f t="shared" si="1"/>
        <v>0</v>
      </c>
      <c r="H61" s="579">
        <f t="shared" si="1"/>
        <v>0</v>
      </c>
      <c r="I61" s="581"/>
      <c r="J61" s="581"/>
    </row>
    <row r="62" spans="2:12">
      <c r="B62" s="586" t="s">
        <v>492</v>
      </c>
      <c r="C62" s="579"/>
      <c r="D62" s="579"/>
      <c r="E62" s="579"/>
      <c r="F62" s="584"/>
      <c r="G62" s="579">
        <f t="shared" si="1"/>
        <v>0</v>
      </c>
      <c r="H62" s="579">
        <f t="shared" si="1"/>
        <v>0</v>
      </c>
      <c r="I62" s="581"/>
      <c r="J62" s="581"/>
    </row>
    <row r="63" spans="2:12">
      <c r="B63" s="586" t="s">
        <v>455</v>
      </c>
      <c r="C63" s="579"/>
      <c r="D63" s="579"/>
      <c r="E63" s="579"/>
      <c r="F63" s="584"/>
      <c r="G63" s="579">
        <f t="shared" si="1"/>
        <v>0</v>
      </c>
      <c r="H63" s="579">
        <f t="shared" si="1"/>
        <v>0</v>
      </c>
      <c r="I63" s="581"/>
      <c r="J63" s="581"/>
    </row>
    <row r="64" spans="2:12">
      <c r="B64" s="586" t="s">
        <v>493</v>
      </c>
      <c r="C64" s="579"/>
      <c r="D64" s="579"/>
      <c r="E64" s="579">
        <f>-C64</f>
        <v>0</v>
      </c>
      <c r="F64" s="584"/>
      <c r="G64" s="579">
        <f t="shared" si="1"/>
        <v>0</v>
      </c>
      <c r="H64" s="579">
        <f t="shared" si="1"/>
        <v>0</v>
      </c>
      <c r="I64" s="581"/>
      <c r="J64" s="581"/>
    </row>
    <row r="65" spans="2:12">
      <c r="B65" s="572" t="s">
        <v>494</v>
      </c>
      <c r="C65" s="579"/>
      <c r="D65" s="579"/>
      <c r="E65" s="579"/>
      <c r="F65" s="579"/>
      <c r="G65" s="579">
        <f t="shared" si="1"/>
        <v>0</v>
      </c>
      <c r="H65" s="579">
        <f t="shared" si="1"/>
        <v>0</v>
      </c>
      <c r="I65" s="581"/>
      <c r="J65" s="581"/>
    </row>
    <row r="66" spans="2:12">
      <c r="B66" s="575" t="s">
        <v>495</v>
      </c>
      <c r="C66" s="585">
        <v>997289</v>
      </c>
      <c r="D66" s="583"/>
      <c r="E66" s="583"/>
      <c r="F66" s="583"/>
      <c r="G66" s="579">
        <f t="shared" si="1"/>
        <v>997289</v>
      </c>
      <c r="H66" s="579">
        <f t="shared" si="1"/>
        <v>0</v>
      </c>
      <c r="I66" s="581"/>
      <c r="J66" s="581"/>
    </row>
    <row r="67" spans="2:12">
      <c r="B67" s="575" t="s">
        <v>496</v>
      </c>
      <c r="C67" s="583"/>
      <c r="D67" s="583"/>
      <c r="E67" s="583"/>
      <c r="F67" s="583"/>
      <c r="G67" s="579">
        <f t="shared" si="1"/>
        <v>0</v>
      </c>
      <c r="H67" s="579">
        <f t="shared" si="1"/>
        <v>0</v>
      </c>
      <c r="I67" s="581"/>
      <c r="J67" s="581"/>
    </row>
    <row r="68" spans="2:12">
      <c r="B68" s="575" t="s">
        <v>497</v>
      </c>
      <c r="C68" s="579"/>
      <c r="D68" s="579"/>
      <c r="E68" s="579"/>
      <c r="F68" s="579"/>
      <c r="G68" s="579">
        <f t="shared" si="1"/>
        <v>0</v>
      </c>
      <c r="H68" s="579">
        <f t="shared" si="1"/>
        <v>0</v>
      </c>
      <c r="I68" s="581"/>
      <c r="J68" s="581"/>
    </row>
    <row r="69" spans="2:12">
      <c r="B69" s="575" t="s">
        <v>498</v>
      </c>
      <c r="C69" s="579"/>
      <c r="D69" s="579"/>
      <c r="E69" s="579"/>
      <c r="F69" s="579"/>
      <c r="G69" s="579">
        <f t="shared" si="1"/>
        <v>0</v>
      </c>
      <c r="H69" s="579">
        <f t="shared" si="1"/>
        <v>0</v>
      </c>
      <c r="I69" s="581"/>
      <c r="J69" s="581"/>
    </row>
    <row r="70" spans="2:12">
      <c r="B70" s="575" t="s">
        <v>499</v>
      </c>
      <c r="C70" s="579"/>
      <c r="D70" s="579"/>
      <c r="E70" s="579"/>
      <c r="F70" s="579"/>
      <c r="G70" s="579">
        <f t="shared" si="1"/>
        <v>0</v>
      </c>
      <c r="H70" s="579">
        <f t="shared" si="1"/>
        <v>0</v>
      </c>
      <c r="I70" s="581"/>
      <c r="J70" s="581"/>
    </row>
    <row r="71" spans="2:12">
      <c r="B71" s="575" t="s">
        <v>500</v>
      </c>
      <c r="C71" s="579"/>
      <c r="D71" s="579"/>
      <c r="E71" s="579"/>
      <c r="F71" s="579"/>
      <c r="G71" s="579">
        <f t="shared" si="1"/>
        <v>0</v>
      </c>
      <c r="H71" s="579">
        <f t="shared" si="1"/>
        <v>0</v>
      </c>
      <c r="I71" s="581"/>
      <c r="J71" s="581"/>
    </row>
    <row r="72" spans="2:12">
      <c r="B72" s="572" t="s">
        <v>501</v>
      </c>
      <c r="C72" s="587"/>
      <c r="D72" s="587"/>
      <c r="E72" s="587"/>
      <c r="F72" s="587"/>
      <c r="G72" s="579">
        <f t="shared" si="1"/>
        <v>0</v>
      </c>
      <c r="H72" s="579">
        <f t="shared" si="1"/>
        <v>0</v>
      </c>
      <c r="I72" s="581"/>
      <c r="J72" s="581"/>
    </row>
    <row r="73" spans="2:12">
      <c r="B73" s="572" t="s">
        <v>237</v>
      </c>
      <c r="C73" s="587"/>
      <c r="D73" s="587"/>
      <c r="E73" s="587"/>
      <c r="F73" s="587"/>
      <c r="G73" s="579">
        <f t="shared" si="1"/>
        <v>0</v>
      </c>
      <c r="H73" s="579">
        <f t="shared" si="1"/>
        <v>0</v>
      </c>
      <c r="I73" s="581"/>
      <c r="J73" s="581"/>
    </row>
    <row r="74" spans="2:12">
      <c r="B74" s="575" t="s">
        <v>502</v>
      </c>
      <c r="C74" s="587"/>
      <c r="D74" s="587"/>
      <c r="E74" s="587"/>
      <c r="F74" s="587"/>
      <c r="G74" s="579">
        <f t="shared" si="1"/>
        <v>0</v>
      </c>
      <c r="H74" s="579">
        <f t="shared" si="1"/>
        <v>0</v>
      </c>
      <c r="I74" s="581"/>
      <c r="J74" s="581"/>
    </row>
    <row r="75" spans="2:12">
      <c r="B75" s="572" t="s">
        <v>503</v>
      </c>
      <c r="C75" s="587"/>
      <c r="D75" s="587"/>
      <c r="E75" s="587"/>
      <c r="F75" s="587"/>
      <c r="G75" s="579">
        <f t="shared" si="1"/>
        <v>0</v>
      </c>
      <c r="H75" s="579">
        <f t="shared" si="1"/>
        <v>0</v>
      </c>
      <c r="I75" s="581"/>
      <c r="J75" s="581"/>
    </row>
    <row r="76" spans="2:12">
      <c r="B76" s="575" t="s">
        <v>504</v>
      </c>
      <c r="C76" s="587"/>
      <c r="D76" s="587"/>
      <c r="E76" s="587"/>
      <c r="F76" s="587"/>
      <c r="G76" s="579">
        <f t="shared" si="1"/>
        <v>0</v>
      </c>
      <c r="H76" s="579">
        <f t="shared" si="1"/>
        <v>0</v>
      </c>
      <c r="I76" s="581"/>
      <c r="J76" s="581"/>
    </row>
    <row r="77" spans="2:12">
      <c r="B77" s="572" t="s">
        <v>505</v>
      </c>
      <c r="C77" s="579"/>
      <c r="D77" s="579"/>
      <c r="E77" s="579"/>
      <c r="F77" s="579"/>
      <c r="G77" s="579">
        <f t="shared" si="1"/>
        <v>0</v>
      </c>
      <c r="H77" s="579">
        <f t="shared" si="1"/>
        <v>0</v>
      </c>
      <c r="I77" s="581"/>
      <c r="J77" s="581"/>
    </row>
    <row r="78" spans="2:12">
      <c r="B78" s="575" t="s">
        <v>506</v>
      </c>
      <c r="C78" s="584">
        <v>3580000</v>
      </c>
      <c r="D78" s="579"/>
      <c r="E78" s="579"/>
      <c r="F78" s="579"/>
      <c r="G78" s="579">
        <f t="shared" si="1"/>
        <v>3580000</v>
      </c>
      <c r="H78" s="579">
        <f t="shared" si="1"/>
        <v>0</v>
      </c>
      <c r="I78" s="581">
        <v>6140576</v>
      </c>
      <c r="J78" s="581"/>
    </row>
    <row r="79" spans="2:12">
      <c r="B79" s="588" t="s">
        <v>507</v>
      </c>
      <c r="C79" s="579"/>
      <c r="D79" s="579"/>
      <c r="E79" s="579"/>
      <c r="F79" s="579"/>
      <c r="G79" s="579">
        <f t="shared" si="1"/>
        <v>0</v>
      </c>
      <c r="H79" s="579">
        <f t="shared" si="1"/>
        <v>0</v>
      </c>
      <c r="I79" s="581"/>
      <c r="J79" s="581"/>
    </row>
    <row r="80" spans="2:12">
      <c r="B80" s="589" t="s">
        <v>402</v>
      </c>
      <c r="C80" s="579"/>
      <c r="D80" s="579"/>
      <c r="E80" s="584"/>
      <c r="F80" s="579"/>
      <c r="G80" s="579">
        <f t="shared" si="1"/>
        <v>0</v>
      </c>
      <c r="H80" s="579">
        <f t="shared" si="1"/>
        <v>0</v>
      </c>
      <c r="I80" s="581">
        <v>160676</v>
      </c>
      <c r="J80" s="581"/>
      <c r="L80" s="523">
        <f>VLOOKUP(B80,Sheet4!B71:C117,2,0)-G80</f>
        <v>0</v>
      </c>
    </row>
    <row r="81" spans="2:12">
      <c r="B81" s="589" t="s">
        <v>403</v>
      </c>
      <c r="C81" s="579"/>
      <c r="D81" s="579"/>
      <c r="E81" s="584"/>
      <c r="F81" s="579"/>
      <c r="G81" s="579">
        <f t="shared" si="1"/>
        <v>0</v>
      </c>
      <c r="H81" s="579">
        <f t="shared" si="1"/>
        <v>0</v>
      </c>
      <c r="I81" s="581">
        <v>97451</v>
      </c>
      <c r="J81" s="581"/>
      <c r="L81" s="523">
        <f>VLOOKUP(B81,Sheet4!B72:C118,2,0)-G81</f>
        <v>97451</v>
      </c>
    </row>
    <row r="82" spans="2:12">
      <c r="B82" s="589" t="s">
        <v>404</v>
      </c>
      <c r="C82" s="579"/>
      <c r="D82" s="579"/>
      <c r="E82" s="584"/>
      <c r="F82" s="579"/>
      <c r="G82" s="579">
        <f t="shared" si="1"/>
        <v>0</v>
      </c>
      <c r="H82" s="579">
        <f t="shared" si="1"/>
        <v>0</v>
      </c>
      <c r="I82" s="581">
        <v>136831</v>
      </c>
      <c r="J82" s="581"/>
      <c r="L82" s="523">
        <f>VLOOKUP(B82,Sheet4!B73:C120,2,0)-G82</f>
        <v>187377</v>
      </c>
    </row>
    <row r="83" spans="2:12">
      <c r="B83" s="589" t="s">
        <v>405</v>
      </c>
      <c r="C83" s="579"/>
      <c r="D83" s="579"/>
      <c r="E83" s="584"/>
      <c r="F83" s="579"/>
      <c r="G83" s="579">
        <f t="shared" si="1"/>
        <v>0</v>
      </c>
      <c r="H83" s="579">
        <f t="shared" si="1"/>
        <v>0</v>
      </c>
      <c r="I83" s="581">
        <v>83276</v>
      </c>
      <c r="J83" s="581"/>
      <c r="L83" s="523">
        <f>VLOOKUP(B83,Sheet4!B74:C121,2,0)-G83</f>
        <v>83276</v>
      </c>
    </row>
    <row r="84" spans="2:12">
      <c r="B84" s="589" t="s">
        <v>406</v>
      </c>
      <c r="C84" s="579"/>
      <c r="D84" s="579"/>
      <c r="E84" s="584"/>
      <c r="F84" s="579"/>
      <c r="G84" s="579">
        <f t="shared" si="1"/>
        <v>0</v>
      </c>
      <c r="H84" s="579">
        <f t="shared" si="1"/>
        <v>0</v>
      </c>
      <c r="I84" s="581">
        <v>81565</v>
      </c>
      <c r="J84" s="581"/>
      <c r="L84" s="523">
        <f>VLOOKUP(B84,Sheet4!B75:C122,2,0)-G84</f>
        <v>254881</v>
      </c>
    </row>
    <row r="85" spans="2:12">
      <c r="B85" s="589" t="s">
        <v>407</v>
      </c>
      <c r="C85" s="579"/>
      <c r="D85" s="579"/>
      <c r="E85" s="584"/>
      <c r="F85" s="579"/>
      <c r="G85" s="579">
        <f t="shared" si="1"/>
        <v>0</v>
      </c>
      <c r="H85" s="579">
        <f t="shared" si="1"/>
        <v>0</v>
      </c>
      <c r="I85" s="581">
        <v>164323</v>
      </c>
      <c r="J85" s="581"/>
      <c r="L85" s="523">
        <f>VLOOKUP(B85,Sheet4!B76:C123,2,0)-G85</f>
        <v>156984</v>
      </c>
    </row>
    <row r="86" spans="2:12">
      <c r="B86" s="589" t="s">
        <v>408</v>
      </c>
      <c r="C86" s="579"/>
      <c r="D86" s="579"/>
      <c r="E86" s="584"/>
      <c r="F86" s="579"/>
      <c r="G86" s="579">
        <f t="shared" si="1"/>
        <v>0</v>
      </c>
      <c r="H86" s="579">
        <f t="shared" si="1"/>
        <v>0</v>
      </c>
      <c r="I86" s="581">
        <v>22440930.199999999</v>
      </c>
      <c r="J86" s="581"/>
      <c r="L86" s="523">
        <f>VLOOKUP(B86,Sheet4!B77:C124,2,0)-G86</f>
        <v>22315462.57</v>
      </c>
    </row>
    <row r="87" spans="2:12">
      <c r="B87" s="589" t="s">
        <v>409</v>
      </c>
      <c r="C87" s="579"/>
      <c r="D87" s="579"/>
      <c r="E87" s="584"/>
      <c r="F87" s="579"/>
      <c r="G87" s="579">
        <f t="shared" si="1"/>
        <v>0</v>
      </c>
      <c r="H87" s="579">
        <f t="shared" si="1"/>
        <v>0</v>
      </c>
      <c r="I87" s="581">
        <v>144611</v>
      </c>
      <c r="J87" s="581"/>
      <c r="L87" s="523">
        <f>VLOOKUP(B87,Sheet4!B78:C127,2,0)-G87</f>
        <v>88898</v>
      </c>
    </row>
    <row r="88" spans="2:12">
      <c r="B88" s="589" t="s">
        <v>410</v>
      </c>
      <c r="C88" s="579"/>
      <c r="D88" s="579"/>
      <c r="E88" s="584"/>
      <c r="F88" s="579"/>
      <c r="G88" s="579">
        <f t="shared" si="1"/>
        <v>0</v>
      </c>
      <c r="H88" s="579">
        <f t="shared" si="1"/>
        <v>0</v>
      </c>
      <c r="I88" s="581">
        <v>490634</v>
      </c>
      <c r="J88" s="581"/>
      <c r="L88" s="523">
        <f>VLOOKUP(B88,Sheet4!B79:C128,2,0)-G88</f>
        <v>325080</v>
      </c>
    </row>
    <row r="89" spans="2:12">
      <c r="B89" s="589" t="s">
        <v>411</v>
      </c>
      <c r="C89" s="579"/>
      <c r="D89" s="579"/>
      <c r="E89" s="584"/>
      <c r="F89" s="579"/>
      <c r="G89" s="579">
        <f t="shared" si="1"/>
        <v>0</v>
      </c>
      <c r="H89" s="579">
        <f t="shared" si="1"/>
        <v>0</v>
      </c>
      <c r="I89" s="581">
        <v>7524</v>
      </c>
      <c r="J89" s="581"/>
      <c r="L89" s="523">
        <f>VLOOKUP(B89,Sheet4!B80:C129,2,0)-G89</f>
        <v>4024</v>
      </c>
    </row>
    <row r="90" spans="2:12">
      <c r="B90" s="589" t="s">
        <v>412</v>
      </c>
      <c r="C90" s="579"/>
      <c r="D90" s="579"/>
      <c r="E90" s="584"/>
      <c r="F90" s="579"/>
      <c r="G90" s="579">
        <f t="shared" si="1"/>
        <v>0</v>
      </c>
      <c r="H90" s="579">
        <f t="shared" si="1"/>
        <v>0</v>
      </c>
      <c r="I90" s="581">
        <v>307631</v>
      </c>
      <c r="J90" s="581"/>
      <c r="L90" s="523">
        <f>VLOOKUP(B90,Sheet4!B81:C130,2,0)-G90</f>
        <v>0</v>
      </c>
    </row>
    <row r="91" spans="2:12">
      <c r="B91" s="589" t="s">
        <v>413</v>
      </c>
      <c r="C91" s="579"/>
      <c r="D91" s="579"/>
      <c r="E91" s="584"/>
      <c r="F91" s="579"/>
      <c r="G91" s="579">
        <f t="shared" ref="G91:H154" si="2">C91+E91</f>
        <v>0</v>
      </c>
      <c r="H91" s="579">
        <f t="shared" si="2"/>
        <v>0</v>
      </c>
      <c r="I91" s="581">
        <v>362300</v>
      </c>
      <c r="J91" s="581"/>
      <c r="L91" s="523">
        <f>VLOOKUP(B91,Sheet4!B82:C131,2,0)-G91</f>
        <v>0</v>
      </c>
    </row>
    <row r="92" spans="2:12">
      <c r="B92" s="589" t="s">
        <v>414</v>
      </c>
      <c r="C92" s="579"/>
      <c r="D92" s="579"/>
      <c r="E92" s="584"/>
      <c r="F92" s="579"/>
      <c r="G92" s="579">
        <f t="shared" si="2"/>
        <v>0</v>
      </c>
      <c r="H92" s="579">
        <f t="shared" si="2"/>
        <v>0</v>
      </c>
      <c r="I92" s="581">
        <v>33267026.5</v>
      </c>
      <c r="J92" s="581"/>
      <c r="L92" s="523">
        <f>VLOOKUP(B92,Sheet4!B83:C132,2,0)-G92</f>
        <v>20765320</v>
      </c>
    </row>
    <row r="93" spans="2:12">
      <c r="B93" s="589" t="s">
        <v>415</v>
      </c>
      <c r="C93" s="579"/>
      <c r="D93" s="579"/>
      <c r="E93" s="584"/>
      <c r="F93" s="579"/>
      <c r="G93" s="579">
        <f t="shared" si="2"/>
        <v>0</v>
      </c>
      <c r="H93" s="579">
        <f t="shared" si="2"/>
        <v>0</v>
      </c>
      <c r="I93" s="581">
        <v>130385</v>
      </c>
      <c r="J93" s="581"/>
      <c r="L93" s="523">
        <f>VLOOKUP(B93,Sheet4!B84:C134,2,0)-G93</f>
        <v>283484</v>
      </c>
    </row>
    <row r="94" spans="2:12">
      <c r="B94" s="589" t="s">
        <v>416</v>
      </c>
      <c r="C94" s="579"/>
      <c r="D94" s="579"/>
      <c r="E94" s="584"/>
      <c r="F94" s="579"/>
      <c r="G94" s="579">
        <f t="shared" si="2"/>
        <v>0</v>
      </c>
      <c r="H94" s="579">
        <f t="shared" si="2"/>
        <v>0</v>
      </c>
      <c r="I94" s="581">
        <v>222468</v>
      </c>
      <c r="J94" s="581"/>
      <c r="L94" s="523">
        <f>VLOOKUP(B94,Sheet4!B85:C135,2,0)-G94</f>
        <v>130112</v>
      </c>
    </row>
    <row r="95" spans="2:12">
      <c r="B95" s="589" t="s">
        <v>417</v>
      </c>
      <c r="C95" s="579"/>
      <c r="D95" s="579"/>
      <c r="E95" s="584"/>
      <c r="F95" s="579"/>
      <c r="G95" s="579">
        <f t="shared" si="2"/>
        <v>0</v>
      </c>
      <c r="H95" s="579">
        <f t="shared" si="2"/>
        <v>0</v>
      </c>
      <c r="I95" s="581">
        <v>114980</v>
      </c>
      <c r="J95" s="581"/>
      <c r="L95" s="523">
        <f>VLOOKUP(B95,Sheet4!B86:C136,2,0)-G95</f>
        <v>84980</v>
      </c>
    </row>
    <row r="96" spans="2:12">
      <c r="B96" s="589" t="s">
        <v>418</v>
      </c>
      <c r="C96" s="579"/>
      <c r="D96" s="579"/>
      <c r="E96" s="584"/>
      <c r="F96" s="579"/>
      <c r="G96" s="579">
        <f t="shared" si="2"/>
        <v>0</v>
      </c>
      <c r="H96" s="579">
        <f t="shared" si="2"/>
        <v>0</v>
      </c>
      <c r="I96" s="581">
        <v>249010</v>
      </c>
      <c r="J96" s="581"/>
      <c r="L96" s="523">
        <f>VLOOKUP(B96,Sheet4!B87:C137,2,0)-G96</f>
        <v>0</v>
      </c>
    </row>
    <row r="97" spans="2:12">
      <c r="B97" s="589" t="s">
        <v>419</v>
      </c>
      <c r="C97" s="579"/>
      <c r="D97" s="579"/>
      <c r="E97" s="584"/>
      <c r="F97" s="579"/>
      <c r="G97" s="579">
        <f t="shared" si="2"/>
        <v>0</v>
      </c>
      <c r="H97" s="579">
        <f t="shared" si="2"/>
        <v>0</v>
      </c>
      <c r="I97" s="581">
        <v>160847</v>
      </c>
      <c r="J97" s="581"/>
      <c r="L97" s="523">
        <f>VLOOKUP(B97,Sheet4!B88:C138,2,0)-G97</f>
        <v>0</v>
      </c>
    </row>
    <row r="98" spans="2:12">
      <c r="B98" s="589" t="s">
        <v>420</v>
      </c>
      <c r="C98" s="579"/>
      <c r="D98" s="579"/>
      <c r="E98" s="584"/>
      <c r="F98" s="579"/>
      <c r="G98" s="579">
        <f t="shared" si="2"/>
        <v>0</v>
      </c>
      <c r="H98" s="579">
        <f t="shared" si="2"/>
        <v>0</v>
      </c>
      <c r="I98" s="581">
        <v>284923</v>
      </c>
      <c r="J98" s="581"/>
      <c r="L98" s="523">
        <f>VLOOKUP(B98,Sheet4!B89:C139,2,0)-G98</f>
        <v>0</v>
      </c>
    </row>
    <row r="99" spans="2:12">
      <c r="B99" s="589" t="s">
        <v>421</v>
      </c>
      <c r="C99" s="579"/>
      <c r="D99" s="579"/>
      <c r="E99" s="584"/>
      <c r="F99" s="579"/>
      <c r="G99" s="579">
        <f t="shared" si="2"/>
        <v>0</v>
      </c>
      <c r="H99" s="579">
        <f t="shared" si="2"/>
        <v>0</v>
      </c>
      <c r="I99" s="581">
        <v>255646</v>
      </c>
      <c r="J99" s="581"/>
      <c r="L99" s="523">
        <f>VLOOKUP(B99,Sheet4!B90:C140,2,0)-G99</f>
        <v>255646</v>
      </c>
    </row>
    <row r="100" spans="2:12">
      <c r="B100" s="589" t="s">
        <v>422</v>
      </c>
      <c r="C100" s="579"/>
      <c r="D100" s="579"/>
      <c r="E100" s="584"/>
      <c r="F100" s="579"/>
      <c r="G100" s="579">
        <f t="shared" si="2"/>
        <v>0</v>
      </c>
      <c r="H100" s="579">
        <f t="shared" si="2"/>
        <v>0</v>
      </c>
      <c r="I100" s="581">
        <v>143627</v>
      </c>
      <c r="J100" s="581"/>
      <c r="L100" s="523">
        <f>VLOOKUP(B100,Sheet4!B91:C142,2,0)-G100</f>
        <v>143627</v>
      </c>
    </row>
    <row r="101" spans="2:12">
      <c r="B101" s="589" t="s">
        <v>423</v>
      </c>
      <c r="C101" s="579"/>
      <c r="D101" s="579"/>
      <c r="E101" s="584"/>
      <c r="F101" s="579"/>
      <c r="G101" s="579">
        <f t="shared" si="2"/>
        <v>0</v>
      </c>
      <c r="H101" s="579">
        <f t="shared" si="2"/>
        <v>0</v>
      </c>
      <c r="I101" s="581">
        <v>258474</v>
      </c>
      <c r="J101" s="581"/>
      <c r="L101" s="523">
        <f>VLOOKUP(B101,Sheet4!B92:C143,2,0)-G101</f>
        <v>265058</v>
      </c>
    </row>
    <row r="102" spans="2:12">
      <c r="B102" s="589" t="s">
        <v>424</v>
      </c>
      <c r="C102" s="579"/>
      <c r="D102" s="579"/>
      <c r="E102" s="584"/>
      <c r="F102" s="579"/>
      <c r="G102" s="579">
        <f t="shared" si="2"/>
        <v>0</v>
      </c>
      <c r="H102" s="579">
        <f t="shared" si="2"/>
        <v>0</v>
      </c>
      <c r="I102" s="581">
        <v>144502</v>
      </c>
      <c r="J102" s="581"/>
      <c r="L102" s="523">
        <f>VLOOKUP(B102,Sheet4!B93:C144,2,0)-G102</f>
        <v>0</v>
      </c>
    </row>
    <row r="103" spans="2:12">
      <c r="B103" s="589" t="s">
        <v>425</v>
      </c>
      <c r="C103" s="579"/>
      <c r="D103" s="579"/>
      <c r="E103" s="584"/>
      <c r="F103" s="579"/>
      <c r="G103" s="579">
        <f t="shared" si="2"/>
        <v>0</v>
      </c>
      <c r="H103" s="579">
        <f t="shared" si="2"/>
        <v>0</v>
      </c>
      <c r="I103" s="581">
        <v>420689</v>
      </c>
      <c r="J103" s="581"/>
      <c r="L103" s="523">
        <f>VLOOKUP(B103,Sheet4!B94:C145,2,0)-G103</f>
        <v>125689</v>
      </c>
    </row>
    <row r="104" spans="2:12">
      <c r="B104" s="589" t="s">
        <v>426</v>
      </c>
      <c r="C104" s="579"/>
      <c r="D104" s="579"/>
      <c r="E104" s="584"/>
      <c r="F104" s="579"/>
      <c r="G104" s="579">
        <f t="shared" si="2"/>
        <v>0</v>
      </c>
      <c r="H104" s="579">
        <f t="shared" si="2"/>
        <v>0</v>
      </c>
      <c r="I104" s="581">
        <v>56050</v>
      </c>
      <c r="J104" s="581"/>
      <c r="L104" s="523">
        <f>VLOOKUP(B104,Sheet4!B95:C146,2,0)-G104</f>
        <v>59923</v>
      </c>
    </row>
    <row r="105" spans="2:12">
      <c r="B105" s="589" t="s">
        <v>427</v>
      </c>
      <c r="C105" s="579"/>
      <c r="D105" s="579"/>
      <c r="E105" s="584"/>
      <c r="F105" s="579"/>
      <c r="G105" s="579">
        <f t="shared" si="2"/>
        <v>0</v>
      </c>
      <c r="H105" s="579">
        <f t="shared" si="2"/>
        <v>0</v>
      </c>
      <c r="I105" s="581">
        <v>167805</v>
      </c>
      <c r="J105" s="581"/>
      <c r="L105" s="523">
        <f>VLOOKUP(B105,Sheet4!B96:C147,2,0)-G105</f>
        <v>77693</v>
      </c>
    </row>
    <row r="106" spans="2:12">
      <c r="B106" s="589" t="s">
        <v>428</v>
      </c>
      <c r="C106" s="579"/>
      <c r="D106" s="579"/>
      <c r="E106" s="584"/>
      <c r="F106" s="579"/>
      <c r="G106" s="579">
        <f t="shared" si="2"/>
        <v>0</v>
      </c>
      <c r="H106" s="579">
        <f t="shared" si="2"/>
        <v>0</v>
      </c>
      <c r="I106" s="581">
        <v>32776</v>
      </c>
      <c r="J106" s="581"/>
      <c r="L106" s="523">
        <f>VLOOKUP(B106,Sheet4!B97:C148,2,0)-G106</f>
        <v>0</v>
      </c>
    </row>
    <row r="107" spans="2:12">
      <c r="B107" s="589" t="s">
        <v>429</v>
      </c>
      <c r="C107" s="579"/>
      <c r="D107" s="579"/>
      <c r="E107" s="584"/>
      <c r="F107" s="579"/>
      <c r="G107" s="579">
        <f t="shared" si="2"/>
        <v>0</v>
      </c>
      <c r="H107" s="579">
        <f t="shared" si="2"/>
        <v>0</v>
      </c>
      <c r="I107" s="581">
        <v>296970</v>
      </c>
      <c r="J107" s="581"/>
      <c r="L107" s="523">
        <f>VLOOKUP(B107,Sheet4!B98:C149,2,0)-G107</f>
        <v>352360</v>
      </c>
    </row>
    <row r="108" spans="2:12">
      <c r="B108" s="589" t="s">
        <v>430</v>
      </c>
      <c r="C108" s="579"/>
      <c r="D108" s="579"/>
      <c r="E108" s="584"/>
      <c r="F108" s="579"/>
      <c r="G108" s="579">
        <f t="shared" si="2"/>
        <v>0</v>
      </c>
      <c r="H108" s="579">
        <f t="shared" si="2"/>
        <v>0</v>
      </c>
      <c r="I108" s="581">
        <v>346155</v>
      </c>
      <c r="J108" s="581"/>
      <c r="L108" s="523">
        <f>VLOOKUP(B108,Sheet4!B99:C150,2,0)-G108</f>
        <v>346155</v>
      </c>
    </row>
    <row r="109" spans="2:12">
      <c r="B109" s="589" t="s">
        <v>431</v>
      </c>
      <c r="C109" s="579"/>
      <c r="D109" s="579"/>
      <c r="E109" s="584"/>
      <c r="F109" s="579"/>
      <c r="G109" s="579">
        <f t="shared" si="2"/>
        <v>0</v>
      </c>
      <c r="H109" s="579">
        <f t="shared" si="2"/>
        <v>0</v>
      </c>
      <c r="I109" s="581">
        <v>85176</v>
      </c>
      <c r="J109" s="581"/>
      <c r="L109" s="523">
        <f>VLOOKUP(B109,Sheet4!B100:C151,2,0)-G109</f>
        <v>85176</v>
      </c>
    </row>
    <row r="110" spans="2:12">
      <c r="B110" s="589" t="s">
        <v>432</v>
      </c>
      <c r="C110" s="579"/>
      <c r="D110" s="579"/>
      <c r="E110" s="584"/>
      <c r="F110" s="579"/>
      <c r="G110" s="579">
        <f t="shared" si="2"/>
        <v>0</v>
      </c>
      <c r="H110" s="579">
        <f t="shared" si="2"/>
        <v>0</v>
      </c>
      <c r="I110" s="581">
        <v>173614</v>
      </c>
      <c r="J110" s="581"/>
      <c r="L110" s="523">
        <f>VLOOKUP(B110,Sheet4!B101:C152,2,0)-G110</f>
        <v>0</v>
      </c>
    </row>
    <row r="111" spans="2:12">
      <c r="B111" s="589" t="s">
        <v>433</v>
      </c>
      <c r="C111" s="579"/>
      <c r="D111" s="579"/>
      <c r="E111" s="584"/>
      <c r="F111" s="579"/>
      <c r="G111" s="579">
        <f t="shared" si="2"/>
        <v>0</v>
      </c>
      <c r="H111" s="579">
        <f t="shared" si="2"/>
        <v>0</v>
      </c>
      <c r="I111" s="581">
        <v>83258</v>
      </c>
      <c r="J111" s="581"/>
      <c r="L111" s="523">
        <f>VLOOKUP(B111,Sheet4!B102:C153,2,0)-G111</f>
        <v>0</v>
      </c>
    </row>
    <row r="112" spans="2:12">
      <c r="B112" s="589" t="s">
        <v>434</v>
      </c>
      <c r="C112" s="579"/>
      <c r="D112" s="579"/>
      <c r="E112" s="584"/>
      <c r="F112" s="579"/>
      <c r="G112" s="579">
        <f t="shared" si="2"/>
        <v>0</v>
      </c>
      <c r="H112" s="579">
        <f t="shared" si="2"/>
        <v>0</v>
      </c>
      <c r="I112" s="581">
        <v>7640315.7300000004</v>
      </c>
      <c r="J112" s="581"/>
      <c r="L112" s="523">
        <f>VLOOKUP(B112,Sheet4!B103:C154,2,0)-G112</f>
        <v>6069598.9699999997</v>
      </c>
    </row>
    <row r="113" spans="2:12">
      <c r="B113" s="589" t="s">
        <v>435</v>
      </c>
      <c r="C113" s="579"/>
      <c r="D113" s="579"/>
      <c r="E113" s="584"/>
      <c r="F113" s="579"/>
      <c r="G113" s="579">
        <f t="shared" si="2"/>
        <v>0</v>
      </c>
      <c r="H113" s="579">
        <f t="shared" si="2"/>
        <v>0</v>
      </c>
      <c r="I113" s="581">
        <v>791769.5</v>
      </c>
      <c r="J113" s="581"/>
      <c r="L113" s="523">
        <f>VLOOKUP(B113,Sheet4!B104:C155,2,0)-G113</f>
        <v>391769.5</v>
      </c>
    </row>
    <row r="114" spans="2:12">
      <c r="B114" s="589" t="s">
        <v>436</v>
      </c>
      <c r="C114" s="579"/>
      <c r="D114" s="579"/>
      <c r="E114" s="584"/>
      <c r="F114" s="579"/>
      <c r="G114" s="579">
        <f t="shared" si="2"/>
        <v>0</v>
      </c>
      <c r="H114" s="579">
        <f t="shared" si="2"/>
        <v>0</v>
      </c>
      <c r="I114" s="581">
        <v>152151</v>
      </c>
      <c r="J114" s="581"/>
      <c r="L114" s="523">
        <f>VLOOKUP(B114,Sheet4!B105:C156,2,0)-G114</f>
        <v>57160</v>
      </c>
    </row>
    <row r="115" spans="2:12">
      <c r="B115" s="589" t="s">
        <v>437</v>
      </c>
      <c r="C115" s="579"/>
      <c r="D115" s="579"/>
      <c r="E115" s="584"/>
      <c r="F115" s="579"/>
      <c r="G115" s="579">
        <f t="shared" si="2"/>
        <v>0</v>
      </c>
      <c r="H115" s="579">
        <f t="shared" si="2"/>
        <v>0</v>
      </c>
      <c r="I115" s="581">
        <v>55626</v>
      </c>
      <c r="J115" s="581"/>
      <c r="L115" s="523">
        <f>VLOOKUP(B115,Sheet4!B106:C157,2,0)-G115</f>
        <v>0</v>
      </c>
    </row>
    <row r="116" spans="2:12">
      <c r="B116" s="589" t="s">
        <v>438</v>
      </c>
      <c r="C116" s="579"/>
      <c r="D116" s="579"/>
      <c r="E116" s="584"/>
      <c r="F116" s="579"/>
      <c r="G116" s="579">
        <f t="shared" si="2"/>
        <v>0</v>
      </c>
      <c r="H116" s="579">
        <f t="shared" si="2"/>
        <v>0</v>
      </c>
      <c r="I116" s="581">
        <v>750066</v>
      </c>
      <c r="J116" s="581"/>
      <c r="L116" s="523">
        <f>VLOOKUP(B116,Sheet4!B107:C158,2,0)-G116</f>
        <v>0</v>
      </c>
    </row>
    <row r="117" spans="2:12">
      <c r="B117" s="589" t="s">
        <v>452</v>
      </c>
      <c r="C117" s="584">
        <v>22</v>
      </c>
      <c r="D117" s="579"/>
      <c r="E117" s="584"/>
      <c r="F117" s="579"/>
      <c r="G117" s="579">
        <f t="shared" si="2"/>
        <v>22</v>
      </c>
      <c r="H117" s="579">
        <f t="shared" si="2"/>
        <v>0</v>
      </c>
      <c r="I117" s="581"/>
      <c r="J117" s="581"/>
      <c r="L117" s="523">
        <f>VLOOKUP(B117,Sheet4!B108:C159,2,0)-G117</f>
        <v>0</v>
      </c>
    </row>
    <row r="118" spans="2:12">
      <c r="B118" s="589" t="s">
        <v>508</v>
      </c>
      <c r="C118" s="584">
        <v>97451</v>
      </c>
      <c r="D118" s="579"/>
      <c r="E118" s="584"/>
      <c r="F118" s="579"/>
      <c r="G118" s="579">
        <f t="shared" si="2"/>
        <v>97451</v>
      </c>
      <c r="H118" s="579">
        <f t="shared" si="2"/>
        <v>0</v>
      </c>
      <c r="I118" s="581"/>
      <c r="J118" s="581"/>
      <c r="L118" s="523" t="e">
        <f>VLOOKUP(B118,Sheet4!#REF!,2,0)-G118</f>
        <v>#REF!</v>
      </c>
    </row>
    <row r="119" spans="2:12">
      <c r="B119" s="589" t="s">
        <v>509</v>
      </c>
      <c r="C119" s="584">
        <v>187377</v>
      </c>
      <c r="D119" s="579"/>
      <c r="E119" s="584"/>
      <c r="F119" s="579"/>
      <c r="G119" s="579">
        <f t="shared" si="2"/>
        <v>187377</v>
      </c>
      <c r="H119" s="579">
        <f t="shared" si="2"/>
        <v>0</v>
      </c>
      <c r="I119" s="581"/>
      <c r="J119" s="581"/>
      <c r="L119" s="523" t="e">
        <f>VLOOKUP(B119,Sheet4!#REF!,2,0)-G119</f>
        <v>#REF!</v>
      </c>
    </row>
    <row r="120" spans="2:12">
      <c r="B120" s="589" t="s">
        <v>510</v>
      </c>
      <c r="C120" s="584">
        <v>83276</v>
      </c>
      <c r="D120" s="579"/>
      <c r="E120" s="584"/>
      <c r="F120" s="579"/>
      <c r="G120" s="579">
        <f t="shared" si="2"/>
        <v>83276</v>
      </c>
      <c r="H120" s="579">
        <f t="shared" si="2"/>
        <v>0</v>
      </c>
      <c r="I120" s="581"/>
      <c r="J120" s="581"/>
      <c r="L120" s="523" t="e">
        <f>VLOOKUP(B120,Sheet4!#REF!,2,0)-G120</f>
        <v>#REF!</v>
      </c>
    </row>
    <row r="121" spans="2:12">
      <c r="B121" s="589" t="s">
        <v>440</v>
      </c>
      <c r="C121" s="584">
        <v>194185.94</v>
      </c>
      <c r="D121" s="579"/>
      <c r="E121" s="584"/>
      <c r="F121" s="579"/>
      <c r="G121" s="579">
        <f t="shared" si="2"/>
        <v>194185.94</v>
      </c>
      <c r="H121" s="579">
        <f t="shared" si="2"/>
        <v>0</v>
      </c>
      <c r="I121" s="581"/>
      <c r="J121" s="581"/>
      <c r="L121" s="523" t="e">
        <f>VLOOKUP(B121,Sheet4!#REF!,2,0)-G121</f>
        <v>#REF!</v>
      </c>
    </row>
    <row r="122" spans="2:12">
      <c r="B122" s="589" t="s">
        <v>511</v>
      </c>
      <c r="C122" s="584">
        <v>254881</v>
      </c>
      <c r="D122" s="579"/>
      <c r="E122" s="584"/>
      <c r="F122" s="579"/>
      <c r="G122" s="579">
        <f t="shared" si="2"/>
        <v>254881</v>
      </c>
      <c r="H122" s="579">
        <f t="shared" si="2"/>
        <v>0</v>
      </c>
      <c r="I122" s="581"/>
      <c r="J122" s="581"/>
      <c r="L122" s="523" t="e">
        <f>VLOOKUP(B122,Sheet4!#REF!,2,0)-G122</f>
        <v>#REF!</v>
      </c>
    </row>
    <row r="123" spans="2:12">
      <c r="B123" s="589" t="s">
        <v>512</v>
      </c>
      <c r="C123" s="584">
        <v>156984</v>
      </c>
      <c r="D123" s="579"/>
      <c r="E123" s="584"/>
      <c r="F123" s="579"/>
      <c r="G123" s="579">
        <f t="shared" si="2"/>
        <v>156984</v>
      </c>
      <c r="H123" s="579">
        <f t="shared" si="2"/>
        <v>0</v>
      </c>
      <c r="I123" s="581"/>
      <c r="J123" s="581"/>
      <c r="L123" s="523" t="e">
        <f>VLOOKUP(B123,Sheet4!#REF!,2,0)-G123</f>
        <v>#REF!</v>
      </c>
    </row>
    <row r="124" spans="2:12">
      <c r="B124" s="589" t="s">
        <v>484</v>
      </c>
      <c r="C124" s="579">
        <v>0</v>
      </c>
      <c r="D124" s="579"/>
      <c r="E124" s="584"/>
      <c r="F124" s="579"/>
      <c r="G124" s="579">
        <f t="shared" si="2"/>
        <v>0</v>
      </c>
      <c r="H124" s="579">
        <f t="shared" si="2"/>
        <v>0</v>
      </c>
      <c r="I124" s="581"/>
      <c r="J124" s="581"/>
      <c r="L124" s="523" t="e">
        <f>VLOOKUP(B124,Sheet4!B1:C51,2,0)-G124</f>
        <v>#N/A</v>
      </c>
    </row>
    <row r="125" spans="2:12">
      <c r="B125" s="589" t="s">
        <v>441</v>
      </c>
      <c r="C125" s="584">
        <v>425521</v>
      </c>
      <c r="D125" s="579"/>
      <c r="E125" s="584"/>
      <c r="F125" s="579"/>
      <c r="G125" s="579">
        <f t="shared" si="2"/>
        <v>425521</v>
      </c>
      <c r="H125" s="579">
        <f t="shared" si="2"/>
        <v>0</v>
      </c>
      <c r="I125" s="581"/>
      <c r="J125" s="581"/>
      <c r="L125" s="523" t="e">
        <f>VLOOKUP(B125,Sheet4!B2:C52,2,0)-G125</f>
        <v>#N/A</v>
      </c>
    </row>
    <row r="126" spans="2:12">
      <c r="B126" s="589" t="s">
        <v>513</v>
      </c>
      <c r="C126" s="584">
        <v>22315462.57</v>
      </c>
      <c r="D126" s="579"/>
      <c r="E126" s="584"/>
      <c r="F126" s="579"/>
      <c r="G126" s="579">
        <f t="shared" si="2"/>
        <v>22315462.57</v>
      </c>
      <c r="H126" s="579">
        <f t="shared" si="2"/>
        <v>0</v>
      </c>
      <c r="I126" s="581"/>
      <c r="J126" s="581"/>
      <c r="L126" s="523" t="e">
        <f>VLOOKUP(B126,Sheet4!B3:C53,2,0)-G126</f>
        <v>#N/A</v>
      </c>
    </row>
    <row r="127" spans="2:12">
      <c r="B127" s="589" t="s">
        <v>514</v>
      </c>
      <c r="C127" s="584">
        <v>88898</v>
      </c>
      <c r="D127" s="579"/>
      <c r="E127" s="584"/>
      <c r="F127" s="579"/>
      <c r="G127" s="579">
        <f t="shared" si="2"/>
        <v>88898</v>
      </c>
      <c r="H127" s="579">
        <f t="shared" si="2"/>
        <v>0</v>
      </c>
      <c r="I127" s="581"/>
      <c r="J127" s="581"/>
      <c r="L127" s="523" t="e">
        <f>VLOOKUP(B127,Sheet4!B4:C54,2,0)-G127</f>
        <v>#N/A</v>
      </c>
    </row>
    <row r="128" spans="2:12">
      <c r="B128" s="589" t="s">
        <v>515</v>
      </c>
      <c r="C128" s="584">
        <v>325080</v>
      </c>
      <c r="D128" s="579"/>
      <c r="E128" s="584"/>
      <c r="F128" s="579"/>
      <c r="G128" s="579">
        <f t="shared" si="2"/>
        <v>325080</v>
      </c>
      <c r="H128" s="579">
        <f t="shared" si="2"/>
        <v>0</v>
      </c>
      <c r="I128" s="581"/>
      <c r="J128" s="581"/>
      <c r="L128" s="523" t="e">
        <f>VLOOKUP(B128,Sheet4!B4:C55,2,0)-G128</f>
        <v>#N/A</v>
      </c>
    </row>
    <row r="129" spans="2:12">
      <c r="B129" s="589" t="s">
        <v>516</v>
      </c>
      <c r="C129" s="584">
        <v>4024</v>
      </c>
      <c r="D129" s="579"/>
      <c r="E129" s="584"/>
      <c r="F129" s="579"/>
      <c r="G129" s="579">
        <f t="shared" si="2"/>
        <v>4024</v>
      </c>
      <c r="H129" s="579">
        <f t="shared" si="2"/>
        <v>0</v>
      </c>
      <c r="I129" s="581"/>
      <c r="J129" s="581"/>
      <c r="L129" s="523"/>
    </row>
    <row r="130" spans="2:12">
      <c r="B130" s="589" t="s">
        <v>396</v>
      </c>
      <c r="C130" s="579">
        <v>0</v>
      </c>
      <c r="D130" s="579">
        <v>67365</v>
      </c>
      <c r="E130" s="584"/>
      <c r="F130" s="579"/>
      <c r="G130" s="579">
        <f t="shared" si="2"/>
        <v>0</v>
      </c>
      <c r="H130" s="579">
        <f t="shared" si="2"/>
        <v>67365</v>
      </c>
      <c r="I130" s="581"/>
      <c r="J130" s="581"/>
      <c r="L130" s="523" t="e">
        <f>VLOOKUP(B130,Sheet4!B8:C57,2,0)-G130</f>
        <v>#N/A</v>
      </c>
    </row>
    <row r="131" spans="2:12">
      <c r="B131" s="589" t="s">
        <v>397</v>
      </c>
      <c r="C131" s="579">
        <v>0</v>
      </c>
      <c r="D131" s="579">
        <v>40</v>
      </c>
      <c r="E131" s="584"/>
      <c r="F131" s="579"/>
      <c r="G131" s="579">
        <f t="shared" si="2"/>
        <v>0</v>
      </c>
      <c r="H131" s="579">
        <f t="shared" si="2"/>
        <v>40</v>
      </c>
      <c r="I131" s="581"/>
      <c r="J131" s="581"/>
      <c r="L131" s="523" t="e">
        <f>VLOOKUP(B131,Sheet4!B9:C57,2,0)-G131</f>
        <v>#N/A</v>
      </c>
    </row>
    <row r="132" spans="2:12">
      <c r="B132" s="589" t="s">
        <v>517</v>
      </c>
      <c r="C132" s="584">
        <v>20765320</v>
      </c>
      <c r="D132" s="579"/>
      <c r="E132" s="584"/>
      <c r="F132" s="579"/>
      <c r="G132" s="579">
        <f t="shared" si="2"/>
        <v>20765320</v>
      </c>
      <c r="H132" s="579">
        <f t="shared" si="2"/>
        <v>0</v>
      </c>
      <c r="I132" s="581"/>
      <c r="J132" s="581"/>
      <c r="L132" s="523" t="e">
        <f>VLOOKUP(B132,Sheet4!B10:C58,2,0)-G132</f>
        <v>#N/A</v>
      </c>
    </row>
    <row r="133" spans="2:12">
      <c r="B133" s="589" t="s">
        <v>518</v>
      </c>
      <c r="C133" s="584">
        <v>283484</v>
      </c>
      <c r="D133" s="579"/>
      <c r="E133" s="584"/>
      <c r="F133" s="579"/>
      <c r="G133" s="579">
        <f t="shared" si="2"/>
        <v>283484</v>
      </c>
      <c r="H133" s="579">
        <f t="shared" si="2"/>
        <v>0</v>
      </c>
      <c r="I133" s="581"/>
      <c r="J133" s="581"/>
      <c r="L133" s="523" t="e">
        <f>VLOOKUP(B133,Sheet4!B11:C59,2,0)-G133</f>
        <v>#N/A</v>
      </c>
    </row>
    <row r="134" spans="2:12">
      <c r="B134" s="589" t="s">
        <v>443</v>
      </c>
      <c r="C134" s="584">
        <v>55905</v>
      </c>
      <c r="D134" s="579"/>
      <c r="E134" s="584"/>
      <c r="F134" s="579"/>
      <c r="G134" s="579">
        <f t="shared" si="2"/>
        <v>55905</v>
      </c>
      <c r="H134" s="579">
        <f t="shared" si="2"/>
        <v>0</v>
      </c>
      <c r="I134" s="581"/>
      <c r="J134" s="581"/>
      <c r="L134" s="523" t="e">
        <f>VLOOKUP(B134,Sheet4!B12:C59,2,0)-G134</f>
        <v>#N/A</v>
      </c>
    </row>
    <row r="135" spans="2:12">
      <c r="B135" s="589" t="s">
        <v>519</v>
      </c>
      <c r="C135" s="584">
        <v>130112</v>
      </c>
      <c r="D135" s="579"/>
      <c r="E135" s="584"/>
      <c r="F135" s="579"/>
      <c r="G135" s="579">
        <f t="shared" si="2"/>
        <v>130112</v>
      </c>
      <c r="H135" s="579">
        <f t="shared" si="2"/>
        <v>0</v>
      </c>
      <c r="I135" s="581"/>
      <c r="J135" s="581"/>
      <c r="L135" s="523" t="e">
        <f>VLOOKUP(B135,Sheet4!B12:C59,2,0)-G135</f>
        <v>#N/A</v>
      </c>
    </row>
    <row r="136" spans="2:12">
      <c r="B136" s="589" t="s">
        <v>520</v>
      </c>
      <c r="C136" s="584">
        <v>84980</v>
      </c>
      <c r="D136" s="579"/>
      <c r="E136" s="584"/>
      <c r="F136" s="579"/>
      <c r="G136" s="579">
        <f t="shared" si="2"/>
        <v>84980</v>
      </c>
      <c r="H136" s="579">
        <f t="shared" si="2"/>
        <v>0</v>
      </c>
      <c r="I136" s="581"/>
      <c r="J136" s="581"/>
      <c r="L136" s="523" t="e">
        <f>VLOOKUP(B136,Sheet4!B13:C60,2,0)-G136</f>
        <v>#N/A</v>
      </c>
    </row>
    <row r="137" spans="2:12">
      <c r="B137" s="589" t="s">
        <v>521</v>
      </c>
      <c r="C137" s="584">
        <v>255646</v>
      </c>
      <c r="D137" s="579"/>
      <c r="E137" s="584"/>
      <c r="F137" s="579"/>
      <c r="G137" s="579">
        <f t="shared" si="2"/>
        <v>255646</v>
      </c>
      <c r="H137" s="579">
        <f t="shared" si="2"/>
        <v>0</v>
      </c>
      <c r="I137" s="581"/>
      <c r="J137" s="581"/>
      <c r="L137" s="523" t="e">
        <f>VLOOKUP(B137,Sheet4!B14:C61,2,0)-G137</f>
        <v>#N/A</v>
      </c>
    </row>
    <row r="138" spans="2:12">
      <c r="B138" s="589" t="s">
        <v>442</v>
      </c>
      <c r="C138" s="584">
        <v>144050</v>
      </c>
      <c r="D138" s="579"/>
      <c r="E138" s="584"/>
      <c r="F138" s="579"/>
      <c r="G138" s="579">
        <f t="shared" si="2"/>
        <v>144050</v>
      </c>
      <c r="H138" s="579">
        <f t="shared" si="2"/>
        <v>0</v>
      </c>
      <c r="I138" s="581"/>
      <c r="J138" s="581"/>
      <c r="L138" s="523" t="e">
        <f>VLOOKUP(B138,Sheet4!B15:C62,2,0)-G138</f>
        <v>#N/A</v>
      </c>
    </row>
    <row r="139" spans="2:12">
      <c r="B139" s="589" t="s">
        <v>522</v>
      </c>
      <c r="C139" s="584">
        <v>143627</v>
      </c>
      <c r="D139" s="579"/>
      <c r="E139" s="584"/>
      <c r="F139" s="579"/>
      <c r="G139" s="579">
        <f t="shared" si="2"/>
        <v>143627</v>
      </c>
      <c r="H139" s="579">
        <f t="shared" si="2"/>
        <v>0</v>
      </c>
      <c r="I139" s="581"/>
      <c r="J139" s="581"/>
      <c r="L139" s="523" t="e">
        <f>VLOOKUP(B139,Sheet4!B16:C63,2,0)-G139</f>
        <v>#N/A</v>
      </c>
    </row>
    <row r="140" spans="2:12">
      <c r="B140" s="589" t="s">
        <v>523</v>
      </c>
      <c r="C140" s="584">
        <v>265058</v>
      </c>
      <c r="D140" s="579"/>
      <c r="E140" s="584"/>
      <c r="F140" s="579"/>
      <c r="G140" s="579">
        <f t="shared" si="2"/>
        <v>265058</v>
      </c>
      <c r="H140" s="579">
        <f t="shared" si="2"/>
        <v>0</v>
      </c>
      <c r="I140" s="581"/>
      <c r="J140" s="581"/>
      <c r="L140" s="523" t="e">
        <f>VLOOKUP(B140,Sheet4!B16:C64,2,0)-G140</f>
        <v>#N/A</v>
      </c>
    </row>
    <row r="141" spans="2:12">
      <c r="B141" s="589" t="s">
        <v>445</v>
      </c>
      <c r="C141" s="584">
        <v>310068</v>
      </c>
      <c r="D141" s="579"/>
      <c r="E141" s="584"/>
      <c r="F141" s="579"/>
      <c r="G141" s="579">
        <f t="shared" si="2"/>
        <v>310068</v>
      </c>
      <c r="H141" s="579">
        <f t="shared" si="2"/>
        <v>0</v>
      </c>
      <c r="I141" s="581"/>
      <c r="J141" s="581"/>
      <c r="L141" s="523"/>
    </row>
    <row r="142" spans="2:12">
      <c r="B142" s="589" t="s">
        <v>524</v>
      </c>
      <c r="C142" s="584">
        <v>125689</v>
      </c>
      <c r="D142" s="579"/>
      <c r="E142" s="584"/>
      <c r="F142" s="579"/>
      <c r="G142" s="579">
        <f t="shared" si="2"/>
        <v>125689</v>
      </c>
      <c r="H142" s="579">
        <f t="shared" si="2"/>
        <v>0</v>
      </c>
      <c r="I142" s="581"/>
      <c r="J142" s="581"/>
      <c r="L142" s="523" t="e">
        <f>VLOOKUP(B142,Sheet4!B20:C66,2,0)-G142</f>
        <v>#N/A</v>
      </c>
    </row>
    <row r="143" spans="2:12">
      <c r="B143" s="589" t="s">
        <v>525</v>
      </c>
      <c r="C143" s="584">
        <v>59923</v>
      </c>
      <c r="D143" s="579"/>
      <c r="E143" s="584"/>
      <c r="F143" s="579"/>
      <c r="G143" s="579">
        <f t="shared" si="2"/>
        <v>59923</v>
      </c>
      <c r="H143" s="579">
        <f t="shared" si="2"/>
        <v>0</v>
      </c>
      <c r="I143" s="581"/>
      <c r="J143" s="581"/>
      <c r="L143" s="523" t="e">
        <f>VLOOKUP(B143,Sheet4!B21:C67,2,0)-G143</f>
        <v>#N/A</v>
      </c>
    </row>
    <row r="144" spans="2:12">
      <c r="B144" s="589" t="s">
        <v>526</v>
      </c>
      <c r="C144" s="584">
        <v>77693</v>
      </c>
      <c r="D144" s="579"/>
      <c r="E144" s="584"/>
      <c r="F144" s="579"/>
      <c r="G144" s="579">
        <f t="shared" si="2"/>
        <v>77693</v>
      </c>
      <c r="H144" s="579">
        <f t="shared" si="2"/>
        <v>0</v>
      </c>
      <c r="I144" s="581"/>
      <c r="J144" s="581"/>
      <c r="L144" s="523" t="e">
        <f>VLOOKUP(B144,Sheet4!B22:C68,2,0)-G144</f>
        <v>#N/A</v>
      </c>
    </row>
    <row r="145" spans="2:12">
      <c r="B145" s="589" t="s">
        <v>444</v>
      </c>
      <c r="C145" s="584">
        <v>98150</v>
      </c>
      <c r="D145" s="579"/>
      <c r="E145" s="584"/>
      <c r="F145" s="579"/>
      <c r="G145" s="579">
        <f t="shared" si="2"/>
        <v>98150</v>
      </c>
      <c r="H145" s="579">
        <f t="shared" si="2"/>
        <v>0</v>
      </c>
      <c r="I145" s="581"/>
      <c r="J145" s="581"/>
      <c r="L145" s="523" t="e">
        <f>VLOOKUP(B145,Sheet4!B23:C69,2,0)-G145</f>
        <v>#N/A</v>
      </c>
    </row>
    <row r="146" spans="2:12">
      <c r="B146" s="589" t="s">
        <v>446</v>
      </c>
      <c r="C146" s="584">
        <v>57185</v>
      </c>
      <c r="D146" s="579"/>
      <c r="E146" s="584"/>
      <c r="F146" s="579"/>
      <c r="G146" s="579">
        <f t="shared" si="2"/>
        <v>57185</v>
      </c>
      <c r="H146" s="579">
        <f t="shared" si="2"/>
        <v>0</v>
      </c>
      <c r="I146" s="581"/>
      <c r="J146" s="581"/>
      <c r="L146" s="523" t="e">
        <f>VLOOKUP(B146,Sheet4!B24:C70,2,0)-G146</f>
        <v>#N/A</v>
      </c>
    </row>
    <row r="147" spans="2:12">
      <c r="B147" s="589" t="s">
        <v>527</v>
      </c>
      <c r="C147" s="584">
        <v>352360</v>
      </c>
      <c r="D147" s="579"/>
      <c r="E147" s="584"/>
      <c r="F147" s="579"/>
      <c r="G147" s="579">
        <f t="shared" si="2"/>
        <v>352360</v>
      </c>
      <c r="H147" s="579">
        <f t="shared" si="2"/>
        <v>0</v>
      </c>
      <c r="I147" s="581"/>
      <c r="J147" s="581"/>
      <c r="L147" s="523" t="e">
        <f>VLOOKUP(B147,Sheet4!B24:C71,2,0)-G147</f>
        <v>#N/A</v>
      </c>
    </row>
    <row r="148" spans="2:12">
      <c r="B148" s="589" t="s">
        <v>528</v>
      </c>
      <c r="C148" s="584">
        <v>346155</v>
      </c>
      <c r="D148" s="579"/>
      <c r="E148" s="584"/>
      <c r="F148" s="579"/>
      <c r="G148" s="579">
        <f t="shared" si="2"/>
        <v>346155</v>
      </c>
      <c r="H148" s="579">
        <f t="shared" si="2"/>
        <v>0</v>
      </c>
      <c r="I148" s="581"/>
      <c r="J148" s="581"/>
      <c r="L148" s="523" t="e">
        <f>VLOOKUP(B148,Sheet4!B25:C72,2,0)-G148</f>
        <v>#N/A</v>
      </c>
    </row>
    <row r="149" spans="2:12">
      <c r="B149" s="589" t="s">
        <v>529</v>
      </c>
      <c r="C149" s="584">
        <v>85176</v>
      </c>
      <c r="D149" s="579"/>
      <c r="E149" s="584"/>
      <c r="F149" s="579"/>
      <c r="G149" s="579">
        <f t="shared" si="2"/>
        <v>85176</v>
      </c>
      <c r="H149" s="579">
        <f t="shared" si="2"/>
        <v>0</v>
      </c>
      <c r="I149" s="581"/>
      <c r="J149" s="581"/>
      <c r="L149" s="523" t="e">
        <f>VLOOKUP(B149,Sheet4!B26:C73,2,0)-G149</f>
        <v>#N/A</v>
      </c>
    </row>
    <row r="150" spans="2:12">
      <c r="B150" s="589" t="s">
        <v>390</v>
      </c>
      <c r="C150" s="579"/>
      <c r="D150" s="584">
        <v>2351</v>
      </c>
      <c r="E150" s="584"/>
      <c r="F150" s="579"/>
      <c r="G150" s="579">
        <f t="shared" si="2"/>
        <v>0</v>
      </c>
      <c r="H150" s="579">
        <f t="shared" si="2"/>
        <v>2351</v>
      </c>
      <c r="I150" s="581"/>
      <c r="J150" s="581"/>
      <c r="L150" s="523"/>
    </row>
    <row r="151" spans="2:12">
      <c r="B151" s="589" t="s">
        <v>448</v>
      </c>
      <c r="C151" s="584">
        <v>137882.51999999999</v>
      </c>
      <c r="D151" s="579"/>
      <c r="E151" s="584"/>
      <c r="F151" s="579"/>
      <c r="G151" s="579">
        <f t="shared" si="2"/>
        <v>137882.51999999999</v>
      </c>
      <c r="H151" s="579">
        <f t="shared" si="2"/>
        <v>0</v>
      </c>
      <c r="I151" s="581"/>
      <c r="J151" s="581"/>
      <c r="L151" s="523" t="e">
        <f>VLOOKUP(B151,Sheet4!B27:C74,2,0)-G151</f>
        <v>#N/A</v>
      </c>
    </row>
    <row r="152" spans="2:12">
      <c r="B152" s="589" t="s">
        <v>530</v>
      </c>
      <c r="C152" s="584">
        <v>6069598.9699999997</v>
      </c>
      <c r="D152" s="579"/>
      <c r="E152" s="584"/>
      <c r="F152" s="579"/>
      <c r="G152" s="579">
        <f t="shared" si="2"/>
        <v>6069598.9699999997</v>
      </c>
      <c r="H152" s="579">
        <f t="shared" si="2"/>
        <v>0</v>
      </c>
      <c r="I152" s="581"/>
      <c r="J152" s="581"/>
      <c r="L152" s="523" t="e">
        <f>VLOOKUP(B152,Sheet4!B28:C75,2,0)-G152</f>
        <v>#N/A</v>
      </c>
    </row>
    <row r="153" spans="2:12">
      <c r="B153" s="589" t="s">
        <v>531</v>
      </c>
      <c r="C153" s="584">
        <v>391769.5</v>
      </c>
      <c r="D153" s="579"/>
      <c r="E153" s="584"/>
      <c r="F153" s="579"/>
      <c r="G153" s="579">
        <f t="shared" si="2"/>
        <v>391769.5</v>
      </c>
      <c r="H153" s="579">
        <f t="shared" si="2"/>
        <v>0</v>
      </c>
      <c r="I153" s="581"/>
      <c r="J153" s="581"/>
      <c r="L153" s="523" t="e">
        <f>VLOOKUP(B153,Sheet4!B28:C76,2,0)-G153</f>
        <v>#N/A</v>
      </c>
    </row>
    <row r="154" spans="2:12">
      <c r="B154" s="589" t="s">
        <v>449</v>
      </c>
      <c r="C154" s="584">
        <v>94107</v>
      </c>
      <c r="D154" s="579"/>
      <c r="E154" s="584"/>
      <c r="F154" s="579"/>
      <c r="G154" s="579">
        <f t="shared" si="2"/>
        <v>94107</v>
      </c>
      <c r="H154" s="579">
        <f t="shared" si="2"/>
        <v>0</v>
      </c>
      <c r="I154" s="581"/>
      <c r="J154" s="581"/>
      <c r="L154" s="523"/>
    </row>
    <row r="155" spans="2:12">
      <c r="B155" s="589" t="s">
        <v>532</v>
      </c>
      <c r="C155" s="584">
        <v>57160</v>
      </c>
      <c r="D155" s="579"/>
      <c r="E155" s="584"/>
      <c r="F155" s="579"/>
      <c r="G155" s="579">
        <f t="shared" ref="G155:H219" si="3">C155+E155</f>
        <v>57160</v>
      </c>
      <c r="H155" s="579">
        <f t="shared" si="3"/>
        <v>0</v>
      </c>
      <c r="I155" s="581"/>
      <c r="J155" s="581"/>
      <c r="L155" s="523" t="e">
        <f>VLOOKUP(B155,Sheet4!B32:C78,2,0)-G155</f>
        <v>#N/A</v>
      </c>
    </row>
    <row r="156" spans="2:12">
      <c r="B156" s="575" t="s">
        <v>533</v>
      </c>
      <c r="C156" s="579"/>
      <c r="D156" s="579"/>
      <c r="E156" s="579"/>
      <c r="F156" s="579"/>
      <c r="G156" s="579">
        <f t="shared" si="3"/>
        <v>0</v>
      </c>
      <c r="H156" s="579">
        <f t="shared" si="3"/>
        <v>0</v>
      </c>
      <c r="I156" s="581"/>
      <c r="J156" s="581"/>
    </row>
    <row r="157" spans="2:12">
      <c r="B157" s="586" t="s">
        <v>534</v>
      </c>
      <c r="C157" s="584">
        <v>255827</v>
      </c>
      <c r="D157" s="579"/>
      <c r="E157" s="579"/>
      <c r="F157" s="579"/>
      <c r="G157" s="579">
        <f t="shared" si="3"/>
        <v>255827</v>
      </c>
      <c r="H157" s="579">
        <f t="shared" si="3"/>
        <v>0</v>
      </c>
      <c r="I157" s="581">
        <v>141840</v>
      </c>
      <c r="J157" s="581"/>
    </row>
    <row r="158" spans="2:12">
      <c r="B158" s="575" t="s">
        <v>256</v>
      </c>
      <c r="C158" s="584">
        <v>403049</v>
      </c>
      <c r="D158" s="579"/>
      <c r="E158" s="579"/>
      <c r="F158" s="579"/>
      <c r="G158" s="579">
        <f t="shared" si="3"/>
        <v>403049</v>
      </c>
      <c r="H158" s="579">
        <f t="shared" si="3"/>
        <v>0</v>
      </c>
      <c r="I158" s="581">
        <v>310684</v>
      </c>
      <c r="J158" s="581"/>
    </row>
    <row r="159" spans="2:12">
      <c r="B159" s="575" t="s">
        <v>535</v>
      </c>
      <c r="C159" s="579"/>
      <c r="D159" s="579"/>
      <c r="E159" s="579"/>
      <c r="F159" s="579"/>
      <c r="G159" s="579">
        <f t="shared" si="3"/>
        <v>0</v>
      </c>
      <c r="H159" s="579">
        <f t="shared" si="3"/>
        <v>0</v>
      </c>
      <c r="I159" s="581"/>
      <c r="J159" s="581"/>
    </row>
    <row r="160" spans="2:12">
      <c r="B160" s="578" t="s">
        <v>536</v>
      </c>
      <c r="C160" s="590"/>
      <c r="D160" s="590"/>
      <c r="E160" s="590"/>
      <c r="F160" s="590"/>
      <c r="G160" s="579">
        <f t="shared" si="3"/>
        <v>0</v>
      </c>
      <c r="H160" s="579">
        <f t="shared" si="3"/>
        <v>0</v>
      </c>
      <c r="I160" s="581"/>
      <c r="J160" s="581"/>
    </row>
    <row r="161" spans="1:10">
      <c r="B161" s="578" t="s">
        <v>537</v>
      </c>
      <c r="C161" s="579"/>
      <c r="D161" s="590"/>
      <c r="E161" s="590"/>
      <c r="F161" s="590"/>
      <c r="G161" s="579">
        <f t="shared" si="3"/>
        <v>0</v>
      </c>
      <c r="H161" s="579">
        <f t="shared" si="3"/>
        <v>0</v>
      </c>
      <c r="I161" s="581"/>
      <c r="J161" s="581"/>
    </row>
    <row r="162" spans="1:10">
      <c r="B162" s="578" t="s">
        <v>538</v>
      </c>
      <c r="C162" s="579"/>
      <c r="D162" s="590"/>
      <c r="E162" s="590"/>
      <c r="F162" s="590"/>
      <c r="G162" s="579">
        <f t="shared" si="3"/>
        <v>0</v>
      </c>
      <c r="H162" s="579">
        <f t="shared" si="3"/>
        <v>0</v>
      </c>
      <c r="I162" s="581"/>
      <c r="J162" s="581"/>
    </row>
    <row r="163" spans="1:10">
      <c r="B163" s="575" t="s">
        <v>264</v>
      </c>
      <c r="C163" s="579"/>
      <c r="D163" s="590"/>
      <c r="E163" s="590"/>
      <c r="F163" s="590"/>
      <c r="G163" s="579">
        <f t="shared" si="3"/>
        <v>0</v>
      </c>
      <c r="H163" s="579">
        <f t="shared" si="3"/>
        <v>0</v>
      </c>
      <c r="I163" s="581"/>
      <c r="J163" s="581"/>
    </row>
    <row r="164" spans="1:10">
      <c r="B164" s="578" t="s">
        <v>450</v>
      </c>
      <c r="C164" s="579"/>
      <c r="D164" s="590"/>
      <c r="E164" s="590"/>
      <c r="F164" s="590"/>
      <c r="G164" s="579">
        <f t="shared" si="3"/>
        <v>0</v>
      </c>
      <c r="H164" s="579">
        <f t="shared" si="3"/>
        <v>0</v>
      </c>
      <c r="I164" s="581">
        <v>1290</v>
      </c>
      <c r="J164" s="581"/>
    </row>
    <row r="165" spans="1:10">
      <c r="B165" s="578" t="s">
        <v>451</v>
      </c>
      <c r="C165" s="579"/>
      <c r="D165" s="590"/>
      <c r="E165" s="590"/>
      <c r="F165" s="590"/>
      <c r="G165" s="579">
        <f t="shared" si="3"/>
        <v>0</v>
      </c>
      <c r="H165" s="579">
        <f t="shared" si="3"/>
        <v>0</v>
      </c>
      <c r="I165" s="581">
        <v>24938.27</v>
      </c>
      <c r="J165" s="581"/>
    </row>
    <row r="166" spans="1:10">
      <c r="B166" s="575" t="s">
        <v>270</v>
      </c>
      <c r="C166" s="579"/>
      <c r="D166" s="579"/>
      <c r="E166" s="579"/>
      <c r="F166" s="579"/>
      <c r="G166" s="579">
        <f t="shared" si="3"/>
        <v>0</v>
      </c>
      <c r="H166" s="579">
        <f t="shared" si="3"/>
        <v>0</v>
      </c>
      <c r="I166" s="581"/>
      <c r="J166" s="581"/>
    </row>
    <row r="167" spans="1:10">
      <c r="B167" s="578" t="s">
        <v>457</v>
      </c>
      <c r="C167" s="584">
        <v>291443</v>
      </c>
      <c r="D167" s="579"/>
      <c r="E167" s="579"/>
      <c r="F167" s="579"/>
      <c r="G167" s="579">
        <f t="shared" si="3"/>
        <v>291443</v>
      </c>
      <c r="H167" s="579">
        <f t="shared" si="3"/>
        <v>0</v>
      </c>
      <c r="I167" s="581">
        <v>423071.57</v>
      </c>
      <c r="J167" s="581"/>
    </row>
    <row r="168" spans="1:10">
      <c r="B168" s="578" t="s">
        <v>458</v>
      </c>
      <c r="C168" s="584">
        <f>396513.47+2351</f>
        <v>398864.47</v>
      </c>
      <c r="D168" s="579"/>
      <c r="E168" s="579"/>
      <c r="F168" s="579"/>
      <c r="G168" s="579">
        <f t="shared" si="3"/>
        <v>398864.47</v>
      </c>
      <c r="H168" s="579">
        <f t="shared" si="3"/>
        <v>0</v>
      </c>
      <c r="I168" s="581">
        <v>853722</v>
      </c>
      <c r="J168" s="581"/>
    </row>
    <row r="169" spans="1:10">
      <c r="B169" s="578" t="s">
        <v>454</v>
      </c>
      <c r="C169" s="579"/>
      <c r="D169" s="579"/>
      <c r="E169" s="579"/>
      <c r="F169" s="579"/>
      <c r="G169" s="579">
        <f t="shared" si="3"/>
        <v>0</v>
      </c>
      <c r="H169" s="579">
        <f t="shared" si="3"/>
        <v>0</v>
      </c>
      <c r="I169" s="581"/>
      <c r="J169" s="581"/>
    </row>
    <row r="170" spans="1:10">
      <c r="B170" s="572" t="s">
        <v>271</v>
      </c>
      <c r="C170" s="587"/>
      <c r="D170" s="587"/>
      <c r="E170" s="587"/>
      <c r="F170" s="587"/>
      <c r="G170" s="579">
        <f t="shared" si="3"/>
        <v>0</v>
      </c>
      <c r="H170" s="579">
        <f t="shared" si="3"/>
        <v>0</v>
      </c>
      <c r="I170" s="581"/>
      <c r="J170" s="581"/>
    </row>
    <row r="171" spans="1:10">
      <c r="B171" s="582" t="s">
        <v>271</v>
      </c>
      <c r="C171" s="587"/>
      <c r="D171" s="587"/>
      <c r="E171" s="587"/>
      <c r="F171" s="591"/>
      <c r="G171" s="579">
        <f t="shared" si="3"/>
        <v>0</v>
      </c>
      <c r="H171" s="579">
        <f t="shared" si="3"/>
        <v>0</v>
      </c>
      <c r="I171" s="581"/>
      <c r="J171" s="581"/>
    </row>
    <row r="172" spans="1:10">
      <c r="B172" s="572" t="s">
        <v>539</v>
      </c>
      <c r="C172" s="579"/>
      <c r="D172" s="579"/>
      <c r="E172" s="579"/>
      <c r="F172" s="579"/>
      <c r="G172" s="579">
        <f t="shared" si="3"/>
        <v>0</v>
      </c>
      <c r="H172" s="579">
        <f t="shared" si="3"/>
        <v>0</v>
      </c>
      <c r="I172" s="581"/>
      <c r="J172" s="581"/>
    </row>
    <row r="173" spans="1:10">
      <c r="A173" s="592" t="s">
        <v>273</v>
      </c>
      <c r="B173" s="582" t="s">
        <v>540</v>
      </c>
      <c r="C173" s="587">
        <v>0</v>
      </c>
      <c r="D173" s="584">
        <v>348717955.33999997</v>
      </c>
      <c r="E173" s="587"/>
      <c r="F173" s="587"/>
      <c r="G173" s="579">
        <f t="shared" si="3"/>
        <v>0</v>
      </c>
      <c r="H173" s="579">
        <f t="shared" si="3"/>
        <v>348717955.33999997</v>
      </c>
      <c r="I173" s="581"/>
      <c r="J173" s="581"/>
    </row>
    <row r="174" spans="1:10">
      <c r="A174" s="592"/>
      <c r="B174" s="572" t="s">
        <v>541</v>
      </c>
      <c r="C174" s="579"/>
      <c r="D174" s="579"/>
      <c r="E174" s="579"/>
      <c r="F174" s="579"/>
      <c r="G174" s="579">
        <f t="shared" si="3"/>
        <v>0</v>
      </c>
      <c r="H174" s="579">
        <f t="shared" si="3"/>
        <v>0</v>
      </c>
      <c r="I174" s="581"/>
      <c r="J174" s="581"/>
    </row>
    <row r="175" spans="1:10">
      <c r="A175" s="592" t="s">
        <v>282</v>
      </c>
      <c r="B175" s="582" t="s">
        <v>542</v>
      </c>
      <c r="C175" s="584">
        <v>340961288.05000001</v>
      </c>
      <c r="D175" s="587"/>
      <c r="E175" s="584"/>
      <c r="F175" s="587"/>
      <c r="G175" s="579">
        <f t="shared" si="3"/>
        <v>340961288.05000001</v>
      </c>
      <c r="H175" s="579">
        <f t="shared" si="3"/>
        <v>0</v>
      </c>
      <c r="I175" s="581"/>
      <c r="J175" s="581"/>
    </row>
    <row r="176" spans="1:10">
      <c r="B176" s="572" t="s">
        <v>543</v>
      </c>
      <c r="C176" s="587"/>
      <c r="D176" s="587"/>
      <c r="E176" s="587"/>
      <c r="F176" s="587"/>
      <c r="G176" s="579">
        <f t="shared" si="3"/>
        <v>0</v>
      </c>
      <c r="H176" s="579">
        <f t="shared" si="3"/>
        <v>0</v>
      </c>
      <c r="I176" s="581"/>
      <c r="J176" s="581"/>
    </row>
    <row r="177" spans="1:10">
      <c r="A177" s="592" t="s">
        <v>283</v>
      </c>
      <c r="B177" s="586" t="s">
        <v>283</v>
      </c>
      <c r="C177" s="591">
        <f>299716+72990</f>
        <v>372706</v>
      </c>
      <c r="D177" s="587"/>
      <c r="E177" s="587"/>
      <c r="F177" s="587"/>
      <c r="G177" s="579">
        <f t="shared" si="3"/>
        <v>372706</v>
      </c>
      <c r="H177" s="579">
        <f t="shared" si="3"/>
        <v>0</v>
      </c>
      <c r="I177" s="581"/>
      <c r="J177" s="581"/>
    </row>
    <row r="178" spans="1:10">
      <c r="A178" s="592" t="s">
        <v>315</v>
      </c>
      <c r="B178" s="586" t="s">
        <v>544</v>
      </c>
      <c r="C178" s="587"/>
      <c r="D178" s="587"/>
      <c r="E178" s="587"/>
      <c r="F178" s="587"/>
      <c r="G178" s="579">
        <f t="shared" si="3"/>
        <v>0</v>
      </c>
      <c r="H178" s="579">
        <f t="shared" si="3"/>
        <v>0</v>
      </c>
      <c r="I178" s="581"/>
      <c r="J178" s="581"/>
    </row>
    <row r="179" spans="1:10">
      <c r="A179" s="592" t="s">
        <v>315</v>
      </c>
      <c r="B179" s="586" t="s">
        <v>545</v>
      </c>
      <c r="C179" s="587"/>
      <c r="D179" s="587"/>
      <c r="E179" s="587"/>
      <c r="F179" s="587"/>
      <c r="G179" s="579">
        <f t="shared" si="3"/>
        <v>0</v>
      </c>
      <c r="H179" s="579">
        <f t="shared" si="3"/>
        <v>0</v>
      </c>
      <c r="I179" s="581"/>
      <c r="J179" s="581"/>
    </row>
    <row r="180" spans="1:10">
      <c r="A180" s="592" t="s">
        <v>546</v>
      </c>
      <c r="B180" s="593" t="s">
        <v>546</v>
      </c>
      <c r="C180" s="587"/>
      <c r="D180" s="587"/>
      <c r="E180" s="587"/>
      <c r="F180" s="587"/>
      <c r="G180" s="579">
        <f t="shared" si="3"/>
        <v>0</v>
      </c>
      <c r="H180" s="579">
        <f t="shared" si="3"/>
        <v>0</v>
      </c>
      <c r="I180" s="581"/>
      <c r="J180" s="581"/>
    </row>
    <row r="181" spans="1:10">
      <c r="A181" s="592" t="s">
        <v>290</v>
      </c>
      <c r="B181" s="593" t="s">
        <v>547</v>
      </c>
      <c r="C181" s="591">
        <v>73973</v>
      </c>
      <c r="D181" s="587"/>
      <c r="E181" s="587"/>
      <c r="F181" s="587"/>
      <c r="G181" s="579">
        <f t="shared" si="3"/>
        <v>73973</v>
      </c>
      <c r="H181" s="579">
        <f t="shared" si="3"/>
        <v>0</v>
      </c>
      <c r="I181" s="594"/>
      <c r="J181" s="581"/>
    </row>
    <row r="182" spans="1:10">
      <c r="A182" s="592" t="s">
        <v>315</v>
      </c>
      <c r="B182" s="593" t="s">
        <v>548</v>
      </c>
      <c r="C182" s="587"/>
      <c r="D182" s="587"/>
      <c r="E182" s="587"/>
      <c r="F182" s="587"/>
      <c r="G182" s="579">
        <f t="shared" si="3"/>
        <v>0</v>
      </c>
      <c r="H182" s="579">
        <f t="shared" si="3"/>
        <v>0</v>
      </c>
      <c r="I182" s="581"/>
      <c r="J182" s="581"/>
    </row>
    <row r="183" spans="1:10">
      <c r="B183" s="572" t="s">
        <v>549</v>
      </c>
      <c r="C183" s="587"/>
      <c r="D183" s="587"/>
      <c r="E183" s="587"/>
      <c r="F183" s="587"/>
      <c r="G183" s="579">
        <f t="shared" si="3"/>
        <v>0</v>
      </c>
      <c r="H183" s="579">
        <f t="shared" si="3"/>
        <v>0</v>
      </c>
      <c r="I183" s="581"/>
      <c r="J183" s="581"/>
    </row>
    <row r="184" spans="1:10">
      <c r="A184" s="592" t="s">
        <v>276</v>
      </c>
      <c r="B184" s="593" t="s">
        <v>550</v>
      </c>
      <c r="C184" s="587"/>
      <c r="D184" s="587"/>
      <c r="E184" s="587"/>
      <c r="F184" s="587"/>
      <c r="G184" s="579">
        <f t="shared" si="3"/>
        <v>0</v>
      </c>
      <c r="H184" s="579">
        <f t="shared" si="3"/>
        <v>0</v>
      </c>
      <c r="I184" s="581"/>
      <c r="J184" s="581"/>
    </row>
    <row r="185" spans="1:10">
      <c r="A185" s="592" t="s">
        <v>276</v>
      </c>
      <c r="B185" s="593" t="s">
        <v>551</v>
      </c>
      <c r="C185" s="587"/>
      <c r="D185" s="591">
        <v>5483</v>
      </c>
      <c r="E185" s="587"/>
      <c r="F185" s="587"/>
      <c r="G185" s="579">
        <f t="shared" si="3"/>
        <v>0</v>
      </c>
      <c r="H185" s="579">
        <f t="shared" si="3"/>
        <v>5483</v>
      </c>
      <c r="I185" s="581"/>
      <c r="J185" s="581"/>
    </row>
    <row r="186" spans="1:10">
      <c r="A186" s="592" t="s">
        <v>276</v>
      </c>
      <c r="B186" s="593" t="s">
        <v>552</v>
      </c>
      <c r="C186" s="587"/>
      <c r="D186" s="587"/>
      <c r="E186" s="587"/>
      <c r="F186" s="587"/>
      <c r="G186" s="579">
        <f t="shared" si="3"/>
        <v>0</v>
      </c>
      <c r="H186" s="579">
        <f t="shared" si="3"/>
        <v>0</v>
      </c>
      <c r="I186" s="581"/>
      <c r="J186" s="581"/>
    </row>
    <row r="187" spans="1:10">
      <c r="A187" s="592" t="s">
        <v>276</v>
      </c>
      <c r="B187" s="593" t="s">
        <v>553</v>
      </c>
      <c r="C187" s="587"/>
      <c r="D187" s="587"/>
      <c r="E187" s="587"/>
      <c r="F187" s="587"/>
      <c r="G187" s="579">
        <f t="shared" si="3"/>
        <v>0</v>
      </c>
      <c r="H187" s="579">
        <f t="shared" si="3"/>
        <v>0</v>
      </c>
      <c r="I187" s="581"/>
      <c r="J187" s="581"/>
    </row>
    <row r="188" spans="1:10">
      <c r="A188" s="592" t="s">
        <v>277</v>
      </c>
      <c r="B188" s="593" t="s">
        <v>277</v>
      </c>
      <c r="C188" s="587"/>
      <c r="D188" s="587"/>
      <c r="E188" s="587"/>
      <c r="F188" s="587"/>
      <c r="G188" s="579">
        <f t="shared" si="3"/>
        <v>0</v>
      </c>
      <c r="H188" s="579">
        <f t="shared" si="3"/>
        <v>0</v>
      </c>
      <c r="I188" s="581"/>
      <c r="J188" s="581"/>
    </row>
    <row r="189" spans="1:10">
      <c r="A189" s="592" t="s">
        <v>278</v>
      </c>
      <c r="B189" s="593" t="s">
        <v>554</v>
      </c>
      <c r="C189" s="587"/>
      <c r="D189" s="587"/>
      <c r="E189" s="587"/>
      <c r="F189" s="587"/>
      <c r="G189" s="579">
        <f t="shared" si="3"/>
        <v>0</v>
      </c>
      <c r="H189" s="579">
        <f t="shared" si="3"/>
        <v>0</v>
      </c>
      <c r="I189" s="581"/>
      <c r="J189" s="581"/>
    </row>
    <row r="190" spans="1:10" ht="24">
      <c r="A190" s="595" t="s">
        <v>555</v>
      </c>
      <c r="B190" s="572" t="s">
        <v>556</v>
      </c>
      <c r="C190" s="579"/>
      <c r="D190" s="579"/>
      <c r="E190" s="579"/>
      <c r="F190" s="579"/>
      <c r="G190" s="579">
        <f t="shared" si="3"/>
        <v>0</v>
      </c>
      <c r="H190" s="579">
        <f t="shared" si="3"/>
        <v>0</v>
      </c>
      <c r="I190" s="581"/>
      <c r="J190" s="581"/>
    </row>
    <row r="191" spans="1:10">
      <c r="B191" s="596" t="s">
        <v>557</v>
      </c>
      <c r="C191" s="579"/>
      <c r="D191" s="579"/>
      <c r="E191" s="579"/>
      <c r="F191" s="579"/>
      <c r="G191" s="579">
        <f t="shared" si="3"/>
        <v>0</v>
      </c>
      <c r="H191" s="579">
        <f t="shared" si="3"/>
        <v>0</v>
      </c>
      <c r="I191" s="581"/>
      <c r="J191" s="581"/>
    </row>
    <row r="192" spans="1:10">
      <c r="A192" s="592" t="s">
        <v>558</v>
      </c>
      <c r="B192" s="586" t="s">
        <v>559</v>
      </c>
      <c r="C192" s="583"/>
      <c r="D192" s="583"/>
      <c r="E192" s="583"/>
      <c r="F192" s="583"/>
      <c r="G192" s="579">
        <f t="shared" si="3"/>
        <v>0</v>
      </c>
      <c r="H192" s="579">
        <f t="shared" si="3"/>
        <v>0</v>
      </c>
      <c r="I192" s="581"/>
      <c r="J192" s="581"/>
    </row>
    <row r="193" spans="1:10">
      <c r="A193" s="592" t="s">
        <v>303</v>
      </c>
      <c r="B193" s="586" t="s">
        <v>560</v>
      </c>
      <c r="C193" s="583"/>
      <c r="D193" s="583"/>
      <c r="E193" s="583">
        <v>15000</v>
      </c>
      <c r="F193" s="583"/>
      <c r="G193" s="579">
        <f t="shared" si="3"/>
        <v>15000</v>
      </c>
      <c r="H193" s="579">
        <f t="shared" si="3"/>
        <v>0</v>
      </c>
      <c r="I193" s="581">
        <v>15000</v>
      </c>
      <c r="J193" s="581"/>
    </row>
    <row r="194" spans="1:10">
      <c r="A194" s="592" t="s">
        <v>313</v>
      </c>
      <c r="B194" s="586" t="s">
        <v>561</v>
      </c>
      <c r="C194" s="583"/>
      <c r="D194" s="583"/>
      <c r="E194" s="583"/>
      <c r="F194" s="583"/>
      <c r="G194" s="579">
        <f t="shared" si="3"/>
        <v>0</v>
      </c>
      <c r="H194" s="579">
        <f t="shared" si="3"/>
        <v>0</v>
      </c>
      <c r="I194" s="581"/>
      <c r="J194" s="581"/>
    </row>
    <row r="195" spans="1:10">
      <c r="A195" s="592" t="s">
        <v>305</v>
      </c>
      <c r="B195" s="593" t="s">
        <v>562</v>
      </c>
      <c r="C195" s="585">
        <v>63895.41</v>
      </c>
      <c r="D195" s="583"/>
      <c r="E195" s="583"/>
      <c r="F195" s="583"/>
      <c r="G195" s="579">
        <f t="shared" si="3"/>
        <v>63895.41</v>
      </c>
      <c r="H195" s="579">
        <f t="shared" si="3"/>
        <v>0</v>
      </c>
      <c r="I195" s="581">
        <v>41420</v>
      </c>
      <c r="J195" s="581"/>
    </row>
    <row r="196" spans="1:10">
      <c r="A196" s="592" t="s">
        <v>313</v>
      </c>
      <c r="B196" s="593" t="s">
        <v>563</v>
      </c>
      <c r="C196" s="585">
        <v>9223.6</v>
      </c>
      <c r="D196" s="583"/>
      <c r="E196" s="583"/>
      <c r="F196" s="583"/>
      <c r="G196" s="579">
        <f t="shared" si="3"/>
        <v>9223.6</v>
      </c>
      <c r="H196" s="579">
        <f t="shared" si="3"/>
        <v>0</v>
      </c>
      <c r="I196" s="581"/>
      <c r="J196" s="581"/>
    </row>
    <row r="197" spans="1:10">
      <c r="A197" s="592" t="s">
        <v>313</v>
      </c>
      <c r="B197" s="593" t="s">
        <v>564</v>
      </c>
      <c r="C197" s="583"/>
      <c r="D197" s="583"/>
      <c r="E197" s="583"/>
      <c r="F197" s="583"/>
      <c r="G197" s="579">
        <f t="shared" si="3"/>
        <v>0</v>
      </c>
      <c r="H197" s="579">
        <f t="shared" si="3"/>
        <v>0</v>
      </c>
      <c r="I197" s="581"/>
      <c r="J197" s="581"/>
    </row>
    <row r="198" spans="1:10">
      <c r="A198" s="592" t="s">
        <v>304</v>
      </c>
      <c r="B198" s="593" t="s">
        <v>304</v>
      </c>
      <c r="C198" s="585">
        <v>1014134</v>
      </c>
      <c r="D198" s="583"/>
      <c r="E198" s="583"/>
      <c r="F198" s="583"/>
      <c r="G198" s="579">
        <f t="shared" si="3"/>
        <v>1014134</v>
      </c>
      <c r="H198" s="579">
        <f t="shared" si="3"/>
        <v>0</v>
      </c>
      <c r="I198" s="581">
        <v>1981119</v>
      </c>
      <c r="J198" s="581"/>
    </row>
    <row r="199" spans="1:10">
      <c r="A199" s="592" t="s">
        <v>315</v>
      </c>
      <c r="B199" s="593" t="s">
        <v>548</v>
      </c>
      <c r="C199" s="585">
        <v>81230</v>
      </c>
      <c r="D199" s="583"/>
      <c r="E199" s="583"/>
      <c r="F199" s="583"/>
      <c r="G199" s="579">
        <f t="shared" si="3"/>
        <v>81230</v>
      </c>
      <c r="H199" s="579">
        <f t="shared" si="3"/>
        <v>0</v>
      </c>
      <c r="I199" s="581">
        <v>82302.600000000006</v>
      </c>
      <c r="J199" s="581"/>
    </row>
    <row r="200" spans="1:10">
      <c r="A200" s="597" t="s">
        <v>307</v>
      </c>
      <c r="B200" s="593" t="s">
        <v>307</v>
      </c>
      <c r="C200" s="585">
        <v>47951.66</v>
      </c>
      <c r="D200" s="583"/>
      <c r="E200" s="583"/>
      <c r="F200" s="583"/>
      <c r="G200" s="579">
        <f t="shared" si="3"/>
        <v>47951.66</v>
      </c>
      <c r="H200" s="579">
        <f t="shared" si="3"/>
        <v>0</v>
      </c>
      <c r="I200" s="581">
        <v>6227.9</v>
      </c>
      <c r="J200" s="581"/>
    </row>
    <row r="201" spans="1:10">
      <c r="A201" s="592" t="s">
        <v>309</v>
      </c>
      <c r="B201" s="593" t="s">
        <v>565</v>
      </c>
      <c r="C201" s="583"/>
      <c r="D201" s="583"/>
      <c r="E201" s="583"/>
      <c r="F201" s="583"/>
      <c r="G201" s="579">
        <f t="shared" si="3"/>
        <v>0</v>
      </c>
      <c r="H201" s="579">
        <f t="shared" si="3"/>
        <v>0</v>
      </c>
      <c r="I201" s="581">
        <v>1000</v>
      </c>
      <c r="J201" s="581"/>
    </row>
    <row r="202" spans="1:10">
      <c r="A202" s="592" t="s">
        <v>311</v>
      </c>
      <c r="B202" s="593" t="s">
        <v>566</v>
      </c>
      <c r="C202" s="585">
        <v>30023</v>
      </c>
      <c r="D202" s="583"/>
      <c r="E202" s="583"/>
      <c r="F202" s="583"/>
      <c r="G202" s="579">
        <f t="shared" si="3"/>
        <v>30023</v>
      </c>
      <c r="H202" s="579">
        <f t="shared" si="3"/>
        <v>0</v>
      </c>
      <c r="I202" s="581">
        <v>30721.7</v>
      </c>
      <c r="J202" s="581"/>
    </row>
    <row r="203" spans="1:10">
      <c r="A203" s="592" t="s">
        <v>313</v>
      </c>
      <c r="B203" s="593" t="s">
        <v>567</v>
      </c>
      <c r="C203" s="585">
        <f>89421.52+2045+2430</f>
        <v>93896.52</v>
      </c>
      <c r="D203" s="583"/>
      <c r="E203" s="583">
        <f>-E56-E59-E64-E164</f>
        <v>0</v>
      </c>
      <c r="F203" s="583"/>
      <c r="G203" s="579">
        <f t="shared" si="3"/>
        <v>93896.52</v>
      </c>
      <c r="H203" s="579">
        <f t="shared" si="3"/>
        <v>0</v>
      </c>
      <c r="I203" s="581">
        <v>32035.24</v>
      </c>
      <c r="J203" s="581"/>
    </row>
    <row r="204" spans="1:10">
      <c r="A204" s="592" t="s">
        <v>313</v>
      </c>
      <c r="B204" s="586" t="s">
        <v>568</v>
      </c>
      <c r="C204" s="585">
        <f>3.28+8.47</f>
        <v>11.75</v>
      </c>
      <c r="D204" s="583"/>
      <c r="E204" s="583">
        <f>F209</f>
        <v>-6313.07</v>
      </c>
      <c r="F204" s="583"/>
      <c r="G204" s="579">
        <f t="shared" si="3"/>
        <v>-6301.32</v>
      </c>
      <c r="H204" s="579">
        <f t="shared" si="3"/>
        <v>0</v>
      </c>
      <c r="I204" s="581"/>
      <c r="J204" s="581"/>
    </row>
    <row r="205" spans="1:10">
      <c r="A205" s="592" t="s">
        <v>316</v>
      </c>
      <c r="B205" s="593" t="s">
        <v>569</v>
      </c>
      <c r="C205" s="585">
        <v>26780.83</v>
      </c>
      <c r="D205" s="583"/>
      <c r="E205" s="583"/>
      <c r="F205" s="583"/>
      <c r="G205" s="579">
        <f t="shared" si="3"/>
        <v>26780.83</v>
      </c>
      <c r="H205" s="579">
        <f t="shared" si="3"/>
        <v>0</v>
      </c>
      <c r="I205" s="581">
        <v>3174.1</v>
      </c>
      <c r="J205" s="581"/>
    </row>
    <row r="206" spans="1:10">
      <c r="A206" s="592" t="s">
        <v>318</v>
      </c>
      <c r="B206" s="593" t="s">
        <v>570</v>
      </c>
      <c r="C206" s="583"/>
      <c r="D206" s="583"/>
      <c r="E206" s="583"/>
      <c r="F206" s="583"/>
      <c r="G206" s="579">
        <f t="shared" si="3"/>
        <v>0</v>
      </c>
      <c r="H206" s="579">
        <f t="shared" si="3"/>
        <v>0</v>
      </c>
      <c r="I206" s="581"/>
      <c r="J206" s="581"/>
    </row>
    <row r="207" spans="1:10">
      <c r="A207" s="592" t="s">
        <v>318</v>
      </c>
      <c r="B207" s="593" t="s">
        <v>318</v>
      </c>
      <c r="C207" s="585">
        <v>1650</v>
      </c>
      <c r="D207" s="583"/>
      <c r="E207" s="583"/>
      <c r="F207" s="583"/>
      <c r="G207" s="579">
        <f t="shared" si="3"/>
        <v>1650</v>
      </c>
      <c r="H207" s="579">
        <f t="shared" si="3"/>
        <v>0</v>
      </c>
      <c r="I207" s="581">
        <v>2100</v>
      </c>
      <c r="J207" s="581"/>
    </row>
    <row r="208" spans="1:10">
      <c r="A208" s="592" t="s">
        <v>315</v>
      </c>
      <c r="B208" s="593" t="s">
        <v>571</v>
      </c>
      <c r="C208" s="583"/>
      <c r="D208" s="583"/>
      <c r="E208" s="583"/>
      <c r="F208" s="583"/>
      <c r="G208" s="579">
        <f t="shared" si="3"/>
        <v>0</v>
      </c>
      <c r="H208" s="579">
        <f t="shared" si="3"/>
        <v>0</v>
      </c>
      <c r="I208" s="581"/>
      <c r="J208" s="581"/>
    </row>
    <row r="209" spans="1:10">
      <c r="A209" s="592" t="s">
        <v>320</v>
      </c>
      <c r="B209" s="593" t="s">
        <v>277</v>
      </c>
      <c r="C209" s="583"/>
      <c r="D209" s="585">
        <v>6313.07</v>
      </c>
      <c r="E209" s="583"/>
      <c r="F209" s="583">
        <f>-D209</f>
        <v>-6313.07</v>
      </c>
      <c r="G209" s="579">
        <f t="shared" si="3"/>
        <v>0</v>
      </c>
      <c r="H209" s="579">
        <f t="shared" si="3"/>
        <v>0</v>
      </c>
      <c r="I209" s="581">
        <v>114433.63</v>
      </c>
      <c r="J209" s="581"/>
    </row>
    <row r="210" spans="1:10">
      <c r="A210" s="592" t="s">
        <v>322</v>
      </c>
      <c r="B210" s="593" t="s">
        <v>322</v>
      </c>
      <c r="C210" s="585">
        <v>1080000</v>
      </c>
      <c r="D210" s="583"/>
      <c r="E210" s="583"/>
      <c r="F210" s="583"/>
      <c r="G210" s="579">
        <f t="shared" si="3"/>
        <v>1080000</v>
      </c>
      <c r="H210" s="579">
        <f t="shared" si="3"/>
        <v>0</v>
      </c>
      <c r="I210" s="581">
        <v>1291350</v>
      </c>
      <c r="J210" s="581"/>
    </row>
    <row r="211" spans="1:10">
      <c r="A211" s="592" t="s">
        <v>572</v>
      </c>
      <c r="B211" s="593" t="s">
        <v>572</v>
      </c>
      <c r="C211" s="583"/>
      <c r="D211" s="583"/>
      <c r="E211" s="583"/>
      <c r="F211" s="583"/>
      <c r="G211" s="579">
        <f t="shared" si="3"/>
        <v>0</v>
      </c>
      <c r="H211" s="579">
        <f t="shared" si="3"/>
        <v>0</v>
      </c>
      <c r="I211" s="581"/>
      <c r="J211" s="581"/>
    </row>
    <row r="212" spans="1:10">
      <c r="A212" s="592" t="s">
        <v>324</v>
      </c>
      <c r="B212" s="593" t="s">
        <v>573</v>
      </c>
      <c r="C212" s="585">
        <f>38674+7050</f>
        <v>45724</v>
      </c>
      <c r="D212" s="583"/>
      <c r="E212" s="583"/>
      <c r="F212" s="583"/>
      <c r="G212" s="579">
        <f t="shared" si="3"/>
        <v>45724</v>
      </c>
      <c r="H212" s="579">
        <f t="shared" si="3"/>
        <v>0</v>
      </c>
      <c r="I212" s="581">
        <v>77683.22</v>
      </c>
      <c r="J212" s="581"/>
    </row>
    <row r="213" spans="1:10">
      <c r="A213" s="592"/>
      <c r="B213" s="593" t="s">
        <v>574</v>
      </c>
      <c r="C213" s="583"/>
      <c r="D213" s="583"/>
      <c r="E213" s="583"/>
      <c r="F213" s="583"/>
      <c r="G213" s="579">
        <f t="shared" si="3"/>
        <v>0</v>
      </c>
      <c r="H213" s="579">
        <f t="shared" si="3"/>
        <v>0</v>
      </c>
      <c r="I213" s="581"/>
      <c r="J213" s="581"/>
    </row>
    <row r="214" spans="1:10">
      <c r="A214" s="592" t="s">
        <v>326</v>
      </c>
      <c r="B214" s="593" t="s">
        <v>326</v>
      </c>
      <c r="C214" s="585">
        <v>18633.66</v>
      </c>
      <c r="D214" s="583"/>
      <c r="E214" s="583"/>
      <c r="F214" s="583"/>
      <c r="G214" s="579">
        <f t="shared" si="3"/>
        <v>18633.66</v>
      </c>
      <c r="H214" s="579">
        <f t="shared" si="3"/>
        <v>0</v>
      </c>
      <c r="I214" s="581">
        <v>14001.92</v>
      </c>
      <c r="J214" s="581"/>
    </row>
    <row r="215" spans="1:10">
      <c r="A215" s="592" t="s">
        <v>327</v>
      </c>
      <c r="B215" s="593" t="s">
        <v>575</v>
      </c>
      <c r="C215" s="585">
        <v>19327.61</v>
      </c>
      <c r="D215" s="583"/>
      <c r="E215" s="583"/>
      <c r="F215" s="583"/>
      <c r="G215" s="579">
        <f t="shared" si="3"/>
        <v>19327.61</v>
      </c>
      <c r="H215" s="579">
        <f t="shared" si="3"/>
        <v>0</v>
      </c>
      <c r="I215" s="594"/>
      <c r="J215" s="581"/>
    </row>
    <row r="216" spans="1:10">
      <c r="A216" s="592" t="s">
        <v>294</v>
      </c>
      <c r="B216" s="596" t="s">
        <v>294</v>
      </c>
      <c r="C216" s="585">
        <v>173435.16</v>
      </c>
      <c r="D216" s="583"/>
      <c r="E216" s="583"/>
      <c r="F216" s="583"/>
      <c r="G216" s="579">
        <f t="shared" si="3"/>
        <v>173435.16</v>
      </c>
      <c r="H216" s="579">
        <f t="shared" si="3"/>
        <v>0</v>
      </c>
      <c r="I216" s="581">
        <v>196090.53</v>
      </c>
      <c r="J216" s="581"/>
    </row>
    <row r="217" spans="1:10">
      <c r="A217" s="592"/>
      <c r="B217" s="596" t="s">
        <v>576</v>
      </c>
      <c r="C217" s="579"/>
      <c r="D217" s="579"/>
      <c r="E217" s="579"/>
      <c r="F217" s="579"/>
      <c r="G217" s="579">
        <f t="shared" si="3"/>
        <v>0</v>
      </c>
      <c r="H217" s="579">
        <f t="shared" si="3"/>
        <v>0</v>
      </c>
      <c r="I217" s="581"/>
      <c r="J217" s="581"/>
    </row>
    <row r="218" spans="1:10">
      <c r="A218" s="592" t="s">
        <v>577</v>
      </c>
      <c r="B218" s="598" t="s">
        <v>578</v>
      </c>
      <c r="C218" s="585">
        <v>492910</v>
      </c>
      <c r="D218" s="583"/>
      <c r="E218" s="583"/>
      <c r="F218" s="583"/>
      <c r="G218" s="579">
        <f t="shared" si="3"/>
        <v>492910</v>
      </c>
      <c r="H218" s="579">
        <f t="shared" si="3"/>
        <v>0</v>
      </c>
      <c r="I218" s="581">
        <v>198358</v>
      </c>
      <c r="J218" s="581"/>
    </row>
    <row r="219" spans="1:10">
      <c r="A219" s="592" t="s">
        <v>291</v>
      </c>
      <c r="B219" s="598" t="s">
        <v>291</v>
      </c>
      <c r="C219" s="583"/>
      <c r="D219" s="583"/>
      <c r="E219" s="583"/>
      <c r="F219" s="583"/>
      <c r="G219" s="579">
        <f t="shared" si="3"/>
        <v>0</v>
      </c>
      <c r="H219" s="579">
        <f t="shared" si="3"/>
        <v>0</v>
      </c>
      <c r="I219" s="594"/>
      <c r="J219" s="581"/>
    </row>
    <row r="220" spans="1:10">
      <c r="A220" s="592"/>
      <c r="B220" s="598" t="s">
        <v>579</v>
      </c>
      <c r="C220" s="590"/>
      <c r="D220" s="590"/>
      <c r="E220" s="590"/>
      <c r="F220" s="590"/>
      <c r="G220" s="579">
        <f t="shared" ref="G220:H244" si="4">C220+E220</f>
        <v>0</v>
      </c>
      <c r="H220" s="579">
        <f t="shared" si="4"/>
        <v>0</v>
      </c>
      <c r="I220" s="594"/>
      <c r="J220" s="581"/>
    </row>
    <row r="221" spans="1:10">
      <c r="A221" s="592" t="s">
        <v>292</v>
      </c>
      <c r="B221" s="598" t="s">
        <v>292</v>
      </c>
      <c r="C221" s="590"/>
      <c r="D221" s="590"/>
      <c r="E221" s="590"/>
      <c r="F221" s="590"/>
      <c r="G221" s="579">
        <f t="shared" si="4"/>
        <v>0</v>
      </c>
      <c r="H221" s="579">
        <f t="shared" si="4"/>
        <v>0</v>
      </c>
      <c r="I221" s="594"/>
      <c r="J221" s="581"/>
    </row>
    <row r="222" spans="1:10">
      <c r="A222" s="592"/>
      <c r="B222" s="598" t="s">
        <v>580</v>
      </c>
      <c r="C222" s="590"/>
      <c r="D222" s="590"/>
      <c r="E222" s="590"/>
      <c r="F222" s="590"/>
      <c r="G222" s="579">
        <f t="shared" si="4"/>
        <v>0</v>
      </c>
      <c r="H222" s="579">
        <f t="shared" si="4"/>
        <v>0</v>
      </c>
      <c r="I222" s="581"/>
      <c r="J222" s="581"/>
    </row>
    <row r="223" spans="1:10">
      <c r="B223" s="598" t="s">
        <v>581</v>
      </c>
      <c r="C223" s="590"/>
      <c r="D223" s="590"/>
      <c r="E223" s="590"/>
      <c r="F223" s="590"/>
      <c r="G223" s="579">
        <f t="shared" si="4"/>
        <v>0</v>
      </c>
      <c r="H223" s="579">
        <f t="shared" si="4"/>
        <v>0</v>
      </c>
      <c r="I223" s="581"/>
      <c r="J223" s="581"/>
    </row>
    <row r="224" spans="1:10">
      <c r="B224" s="596" t="s">
        <v>295</v>
      </c>
      <c r="C224" s="579"/>
      <c r="D224" s="579"/>
      <c r="E224" s="579"/>
      <c r="F224" s="579"/>
      <c r="G224" s="579">
        <f t="shared" si="4"/>
        <v>0</v>
      </c>
      <c r="H224" s="579">
        <f t="shared" si="4"/>
        <v>0</v>
      </c>
      <c r="I224" s="581"/>
      <c r="J224" s="581"/>
    </row>
    <row r="225" spans="1:10">
      <c r="A225" s="592" t="s">
        <v>298</v>
      </c>
      <c r="B225" s="598" t="s">
        <v>582</v>
      </c>
      <c r="C225" s="585">
        <v>595617</v>
      </c>
      <c r="D225" s="583"/>
      <c r="E225" s="583"/>
      <c r="F225" s="583"/>
      <c r="G225" s="579">
        <f t="shared" si="4"/>
        <v>595617</v>
      </c>
      <c r="H225" s="579">
        <f t="shared" si="4"/>
        <v>0</v>
      </c>
      <c r="I225" s="581">
        <v>358827</v>
      </c>
      <c r="J225" s="581"/>
    </row>
    <row r="226" spans="1:10">
      <c r="A226" s="592" t="s">
        <v>297</v>
      </c>
      <c r="B226" s="598" t="s">
        <v>583</v>
      </c>
      <c r="C226" s="583"/>
      <c r="D226" s="583"/>
      <c r="E226" s="583"/>
      <c r="F226" s="583"/>
      <c r="G226" s="579">
        <f t="shared" si="4"/>
        <v>0</v>
      </c>
      <c r="H226" s="579">
        <f t="shared" si="4"/>
        <v>0</v>
      </c>
      <c r="I226" s="581"/>
      <c r="J226" s="581"/>
    </row>
    <row r="227" spans="1:10">
      <c r="A227" s="592" t="s">
        <v>297</v>
      </c>
      <c r="B227" s="598" t="s">
        <v>584</v>
      </c>
      <c r="C227" s="583"/>
      <c r="D227" s="583"/>
      <c r="E227" s="583"/>
      <c r="F227" s="583"/>
      <c r="G227" s="579">
        <f t="shared" si="4"/>
        <v>0</v>
      </c>
      <c r="H227" s="579">
        <f t="shared" si="4"/>
        <v>0</v>
      </c>
      <c r="I227" s="581"/>
      <c r="J227" s="581"/>
    </row>
    <row r="228" spans="1:10">
      <c r="A228" s="592" t="s">
        <v>300</v>
      </c>
      <c r="B228" s="598" t="s">
        <v>585</v>
      </c>
      <c r="C228" s="585">
        <v>12095</v>
      </c>
      <c r="D228" s="583"/>
      <c r="E228" s="583"/>
      <c r="F228" s="583"/>
      <c r="G228" s="579">
        <f t="shared" si="4"/>
        <v>12095</v>
      </c>
      <c r="H228" s="579">
        <f t="shared" si="4"/>
        <v>0</v>
      </c>
      <c r="I228" s="594">
        <v>16746.8</v>
      </c>
      <c r="J228" s="581"/>
    </row>
    <row r="229" spans="1:10">
      <c r="A229" s="592" t="s">
        <v>301</v>
      </c>
      <c r="B229" s="598" t="s">
        <v>585</v>
      </c>
      <c r="C229" s="590"/>
      <c r="D229" s="590"/>
      <c r="E229" s="590"/>
      <c r="F229" s="590"/>
      <c r="G229" s="579">
        <f t="shared" si="4"/>
        <v>0</v>
      </c>
      <c r="H229" s="579">
        <f t="shared" si="4"/>
        <v>0</v>
      </c>
      <c r="I229" s="581"/>
      <c r="J229" s="581"/>
    </row>
    <row r="230" spans="1:10">
      <c r="A230" s="592"/>
      <c r="B230" s="588" t="s">
        <v>586</v>
      </c>
      <c r="C230" s="590"/>
      <c r="D230" s="590"/>
      <c r="E230" s="590"/>
      <c r="F230" s="590"/>
      <c r="G230" s="579">
        <f t="shared" si="4"/>
        <v>0</v>
      </c>
      <c r="H230" s="579">
        <f t="shared" si="4"/>
        <v>0</v>
      </c>
      <c r="I230" s="581"/>
      <c r="J230" s="581"/>
    </row>
    <row r="231" spans="1:10">
      <c r="B231" s="599" t="s">
        <v>587</v>
      </c>
      <c r="C231" s="600">
        <f>SUM(C9:C230)</f>
        <v>407874450.0200001</v>
      </c>
      <c r="D231" s="600">
        <f t="shared" ref="D231:J231" si="5">SUM(D9:D230)</f>
        <v>407874450.01999998</v>
      </c>
      <c r="E231" s="600">
        <f t="shared" si="5"/>
        <v>-252908.87</v>
      </c>
      <c r="F231" s="600">
        <f t="shared" si="5"/>
        <v>-252908.87</v>
      </c>
      <c r="G231" s="600">
        <f t="shared" si="5"/>
        <v>407621541.15000015</v>
      </c>
      <c r="H231" s="600">
        <f t="shared" si="5"/>
        <v>407621541.14999998</v>
      </c>
      <c r="I231" s="600">
        <f t="shared" si="5"/>
        <v>83401852.829999983</v>
      </c>
      <c r="J231" s="600">
        <f t="shared" si="5"/>
        <v>64672198.280000001</v>
      </c>
    </row>
    <row r="232" spans="1:10">
      <c r="C232" s="601">
        <v>407874450.0200001</v>
      </c>
      <c r="D232" s="601">
        <v>407874450.01999998</v>
      </c>
      <c r="E232" s="601"/>
      <c r="F232" s="601">
        <f>E231-F231</f>
        <v>0</v>
      </c>
      <c r="G232" s="601"/>
      <c r="H232" s="601">
        <f>G231-H231</f>
        <v>0</v>
      </c>
      <c r="I232" s="601"/>
      <c r="J232" s="601">
        <f>I231-J231</f>
        <v>18729654.549999982</v>
      </c>
    </row>
    <row r="233" spans="1:10">
      <c r="C233" s="156">
        <f>C231-C232</f>
        <v>0</v>
      </c>
      <c r="D233" s="156">
        <f>D231-D232</f>
        <v>0</v>
      </c>
      <c r="E233" s="156"/>
      <c r="F233" s="156"/>
      <c r="G233" s="156"/>
      <c r="H233" s="156"/>
      <c r="I233" s="156"/>
      <c r="J233" s="156"/>
    </row>
    <row r="234" spans="1:10">
      <c r="C234" s="155"/>
      <c r="D234" s="155">
        <f>C233-D233</f>
        <v>0</v>
      </c>
      <c r="I234" s="602"/>
    </row>
    <row r="235" spans="1:10">
      <c r="C235" s="101"/>
      <c r="E235" s="603"/>
    </row>
    <row r="236" spans="1:10">
      <c r="E236" s="603"/>
    </row>
    <row r="237" spans="1:10">
      <c r="E237" s="603"/>
    </row>
    <row r="238" spans="1:10">
      <c r="E238" s="603"/>
    </row>
    <row r="239" spans="1:10">
      <c r="E239" s="603"/>
    </row>
    <row r="240" spans="1:10">
      <c r="E240" s="603"/>
    </row>
    <row r="241" spans="5:5">
      <c r="E241" s="603"/>
    </row>
    <row r="242" spans="5:5">
      <c r="E242" s="603"/>
    </row>
    <row r="243" spans="5:5">
      <c r="E243" s="603"/>
    </row>
    <row r="244" spans="5:5">
      <c r="E244" s="603"/>
    </row>
    <row r="246" spans="5:5">
      <c r="E246" s="514"/>
    </row>
  </sheetData>
  <conditionalFormatting sqref="B1:B1048576">
    <cfRule type="duplicateValues" dxfId="1" priority="1"/>
    <cfRule type="duplicateValues" dxfId="0" priority="2"/>
  </conditionalFormatting>
  <pageMargins left="0.17" right="0.19" top="0.38" bottom="0.44" header="0.17" footer="0.17"/>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My Contect</vt:lpstr>
      <vt:lpstr>Frunt</vt:lpstr>
      <vt:lpstr>BS</vt:lpstr>
      <vt:lpstr>PL</vt:lpstr>
      <vt:lpstr>BS Lia</vt:lpstr>
      <vt:lpstr>FA NEW</vt:lpstr>
      <vt:lpstr>BS Assets</vt:lpstr>
      <vt:lpstr>PL Det</vt:lpstr>
      <vt:lpstr>Aging Analysis</vt:lpstr>
      <vt:lpstr>Sheet4</vt:lpstr>
      <vt:lpstr>Trial 2025</vt:lpstr>
      <vt:lpstr>'Aging Analysis'!Print_Area</vt:lpstr>
      <vt:lpstr>BS!Print_Area</vt:lpstr>
      <vt:lpstr>'BS Assets'!Print_Area</vt:lpstr>
      <vt:lpstr>'BS Lia'!Print_Area</vt:lpstr>
      <vt:lpstr>'FA NEW'!Print_Area</vt:lpstr>
      <vt:lpstr>Frunt!Print_Area</vt:lpstr>
      <vt:lpstr>PL!Print_Area</vt:lpstr>
      <vt:lpstr>'PL Det'!Print_Area</vt:lpstr>
      <vt:lpstr>Sheet4!Print_Area</vt:lpstr>
      <vt:lpstr>Sheet4!Print_Titles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Singla</dc:creator>
  <cp:lastModifiedBy>Pankaj Singla</cp:lastModifiedBy>
  <dcterms:created xsi:type="dcterms:W3CDTF">2026-03-11T18:33:41Z</dcterms:created>
  <dcterms:modified xsi:type="dcterms:W3CDTF">2026-03-11T18:34:06Z</dcterms:modified>
</cp:coreProperties>
</file>